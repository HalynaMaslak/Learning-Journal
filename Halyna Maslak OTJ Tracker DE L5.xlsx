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E9D5F462-1BAD-453B-A6AF-2AA042CB4DF7}" xr6:coauthVersionLast="47" xr6:coauthVersionMax="47" xr10:uidLastSave="{00000000-0000-0000-0000-000000000000}"/>
  <bookViews>
    <workbookView xWindow="-120" yWindow="-120" windowWidth="29040" windowHeight="158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7" i="1" s="1"/>
  <c r="AC18" i="4"/>
  <c r="AC14" i="4"/>
  <c r="AC19" i="4"/>
  <c r="AC22" i="4"/>
  <c r="AC21" i="4"/>
  <c r="AC20" i="4"/>
  <c r="AC17" i="4"/>
  <c r="AC16" i="4"/>
  <c r="AC15" i="4"/>
  <c r="AC13" i="4"/>
  <c r="AC23" i="4"/>
  <c r="U79" i="4"/>
  <c r="B6" i="7"/>
  <c r="B7" i="7" s="1"/>
  <c r="C10" i="7" s="1"/>
  <c r="AC25" i="4" l="1"/>
  <c r="G62" i="1"/>
  <c r="G64" i="1" s="1"/>
  <c r="C68" i="1" s="1"/>
  <c r="C69"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<sst xmlns="http://schemas.openxmlformats.org/spreadsheetml/2006/main" count="358" uniqueCount="283">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</sst>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6">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25" fillId="0" borderId="69" xfId="0" applyFont="1" applyBorder="1"/>
    <xf numFmtId="0" fontId="0" fillId="6" borderId="8" xfId="0" applyFill="1" applyBorder="1"/>
    <xf numFmtId="14" fontId="31" fillId="0" borderId="25" xfId="0" applyNumberFormat="1" applyFont="1" applyBorder="1" applyAlignment="1">
      <alignment vertical="center" wrapText="1"/>
    </xf>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0" fillId="0" borderId="25" xfId="0" applyBorder="1"/>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vertical="center" wrapText="1"/>
    </xf>
    <xf numFmtId="0" fontId="22" fillId="0" borderId="12" xfId="0" applyFont="1" applyBorder="1" applyAlignment="1">
      <alignment wrapText="1"/>
    </xf>
    <xf numFmtId="0" fontId="22" fillId="0" borderId="22" xfId="0" applyFont="1" applyBorder="1" applyAlignment="1">
      <alignment wrapText="1"/>
    </xf>
    <xf numFmtId="0" fontId="22" fillId="0" borderId="19" xfId="0" applyFont="1" applyBorder="1" applyAlignment="1">
      <alignmen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3"/>
  <sheetViews>
    <sheetView showGridLines="0" tabSelected="1" topLeftCell="B24" zoomScale="115" zoomScaleNormal="115" workbookViewId="0">
      <selection activeCell="E48" sqref="E48:F48"/>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68"/>
      <c r="K2" s="169"/>
      <c r="L2" s="169"/>
      <c r="M2" s="169"/>
      <c r="N2" s="169"/>
      <c r="O2" s="170"/>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74" t="s">
        <v>1</v>
      </c>
      <c r="C3" s="174"/>
      <c r="D3" s="174"/>
      <c r="E3" s="174"/>
      <c r="F3" s="174"/>
      <c r="G3" s="175"/>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88"/>
      <c r="I5" s="2"/>
      <c r="J5" s="171"/>
      <c r="K5" s="172"/>
      <c r="L5" s="172"/>
      <c r="M5" s="172"/>
      <c r="N5" s="172"/>
      <c r="O5" s="173"/>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51">
        <v>45708</v>
      </c>
      <c r="E6" s="146">
        <v>4</v>
      </c>
      <c r="F6">
        <v>2</v>
      </c>
      <c r="G6" s="138">
        <f t="shared" ref="G6:G18" si="0">IF(NOT(ISBLANK(D6)), SUM(E6:F6), 0)</f>
        <v>6</v>
      </c>
      <c r="H6" s="188"/>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81">
        <v>45707</v>
      </c>
      <c r="E7" s="58">
        <v>12</v>
      </c>
      <c r="F7" s="139">
        <v>12</v>
      </c>
      <c r="G7" s="138">
        <f t="shared" si="0"/>
        <v>24</v>
      </c>
      <c r="H7" s="188"/>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58"/>
      <c r="E8" s="58">
        <v>15</v>
      </c>
      <c r="F8" s="139">
        <v>17</v>
      </c>
      <c r="G8" s="138">
        <f t="shared" si="0"/>
        <v>0</v>
      </c>
      <c r="H8" s="188"/>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58"/>
      <c r="E9" s="58">
        <v>27</v>
      </c>
      <c r="F9" s="139">
        <v>27</v>
      </c>
      <c r="G9" s="138">
        <f t="shared" si="0"/>
        <v>0</v>
      </c>
      <c r="H9" s="188"/>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58"/>
      <c r="E10" s="58">
        <v>12</v>
      </c>
      <c r="F10" s="139">
        <v>12</v>
      </c>
      <c r="G10" s="138">
        <f t="shared" si="0"/>
        <v>0</v>
      </c>
      <c r="H10" s="188"/>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58"/>
      <c r="E11" s="58">
        <v>24</v>
      </c>
      <c r="F11" s="139">
        <v>22</v>
      </c>
      <c r="G11" s="138">
        <f t="shared" si="0"/>
        <v>0</v>
      </c>
      <c r="H11" s="188"/>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58"/>
      <c r="E12" s="58">
        <v>9</v>
      </c>
      <c r="F12" s="139">
        <v>12</v>
      </c>
      <c r="G12" s="138">
        <f t="shared" si="0"/>
        <v>0</v>
      </c>
      <c r="H12" s="188"/>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58"/>
      <c r="E13" s="58">
        <v>12</v>
      </c>
      <c r="F13" s="139">
        <v>12</v>
      </c>
      <c r="G13" s="138">
        <f t="shared" si="0"/>
        <v>0</v>
      </c>
      <c r="H13" s="188"/>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58"/>
      <c r="E14" s="58">
        <v>21</v>
      </c>
      <c r="F14" s="139">
        <v>22</v>
      </c>
      <c r="G14" s="138">
        <f t="shared" si="0"/>
        <v>0</v>
      </c>
      <c r="H14" s="188"/>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58"/>
      <c r="E15" s="58">
        <v>18</v>
      </c>
      <c r="F15" s="139">
        <v>12</v>
      </c>
      <c r="G15" s="138">
        <f t="shared" si="0"/>
        <v>0</v>
      </c>
      <c r="H15" s="188"/>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58"/>
      <c r="E16" s="58">
        <v>15</v>
      </c>
      <c r="F16" s="139">
        <v>12</v>
      </c>
      <c r="G16" s="138">
        <f t="shared" si="0"/>
        <v>0</v>
      </c>
      <c r="H16" s="188"/>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58"/>
      <c r="E17" s="58">
        <v>15</v>
      </c>
      <c r="F17" s="139">
        <v>12</v>
      </c>
      <c r="G17" s="138">
        <f t="shared" si="0"/>
        <v>0</v>
      </c>
      <c r="H17" s="188"/>
      <c r="I17" s="4"/>
      <c r="J17" s="171"/>
      <c r="K17" s="172"/>
      <c r="L17" s="172"/>
      <c r="M17" s="172"/>
      <c r="N17" s="172"/>
      <c r="O17" s="173"/>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58"/>
      <c r="E18" s="58">
        <v>11</v>
      </c>
      <c r="F18" s="140">
        <v>0</v>
      </c>
      <c r="G18" s="138">
        <f t="shared" si="0"/>
        <v>0</v>
      </c>
      <c r="H18" s="188"/>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30</v>
      </c>
      <c r="H19" s="188"/>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58"/>
      <c r="E22" s="58">
        <v>24</v>
      </c>
      <c r="F22" s="58"/>
      <c r="G22" s="58">
        <f>IF(NOT(ISBLANK(D22)), SUM(E22:F22), 0)</f>
        <v>0</v>
      </c>
      <c r="H22" s="159"/>
      <c r="I22" s="2"/>
      <c r="J22" s="171"/>
      <c r="K22" s="172"/>
      <c r="L22" s="172"/>
      <c r="M22" s="172"/>
      <c r="N22" s="172"/>
      <c r="O22" s="173"/>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58"/>
      <c r="E23" s="58">
        <v>24</v>
      </c>
      <c r="F23" s="58"/>
      <c r="G23" s="58">
        <f>IF(NOT(ISBLANK(D23)), SUM(E23:F23), 0)</f>
        <v>0</v>
      </c>
      <c r="H23" s="159"/>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59"/>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59"/>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59"/>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59"/>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0</v>
      </c>
      <c r="H28" s="159"/>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82"/>
      <c r="C29" s="183"/>
      <c r="D29" s="183"/>
      <c r="E29" s="183"/>
      <c r="F29" s="183"/>
      <c r="G29" s="183"/>
      <c r="H29" s="184"/>
      <c r="I29" s="2"/>
      <c r="J29" s="171"/>
      <c r="K29" s="172"/>
      <c r="L29" s="172"/>
      <c r="M29" s="172"/>
      <c r="N29" s="172"/>
      <c r="O29" s="173"/>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79"/>
      <c r="K30" s="180"/>
      <c r="L30" s="180"/>
      <c r="M30" s="180"/>
      <c r="N30" s="180"/>
      <c r="O30" s="181"/>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85" t="s">
        <v>33</v>
      </c>
      <c r="C31" s="186"/>
      <c r="D31" s="186"/>
      <c r="E31" s="186"/>
      <c r="F31" s="187"/>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64" t="s">
        <v>38</v>
      </c>
      <c r="F35" s="164"/>
      <c r="G35" s="64" t="s">
        <v>25</v>
      </c>
      <c r="H35" s="160" t="s">
        <v>39</v>
      </c>
      <c r="I35" s="4"/>
      <c r="J35" s="171"/>
      <c r="K35" s="172"/>
      <c r="L35" s="172"/>
      <c r="M35" s="172"/>
      <c r="N35" s="172"/>
      <c r="O35" s="173"/>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152">
        <v>45694</v>
      </c>
      <c r="E36" s="165" t="s">
        <v>263</v>
      </c>
      <c r="F36" s="166"/>
      <c r="G36" s="106">
        <v>0.5</v>
      </c>
      <c r="H36" s="161"/>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153">
        <v>45699</v>
      </c>
      <c r="E37" s="165" t="s">
        <v>263</v>
      </c>
      <c r="F37" s="166"/>
      <c r="G37" s="106">
        <v>2</v>
      </c>
      <c r="H37" s="161"/>
      <c r="I37" s="5"/>
      <c r="J37" s="176"/>
      <c r="K37" s="177"/>
      <c r="L37" s="177"/>
      <c r="M37" s="177"/>
      <c r="N37" s="177"/>
      <c r="O37" s="178"/>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155"/>
      <c r="B38" s="82" t="s">
        <v>279</v>
      </c>
      <c r="C38" s="78" t="s">
        <v>143</v>
      </c>
      <c r="D38" s="153">
        <v>45701</v>
      </c>
      <c r="E38" s="167" t="s">
        <v>280</v>
      </c>
      <c r="F38" s="166"/>
      <c r="G38" s="106">
        <v>7</v>
      </c>
      <c r="H38" s="161"/>
      <c r="I38" s="2"/>
      <c r="J38" s="156"/>
      <c r="K38" s="156"/>
      <c r="L38" s="156"/>
      <c r="M38" s="156"/>
      <c r="N38" s="156"/>
      <c r="O38" s="157"/>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154">
        <v>45712</v>
      </c>
      <c r="E39" s="158" t="s">
        <v>268</v>
      </c>
      <c r="F39" s="158"/>
      <c r="G39" s="106">
        <v>0.5</v>
      </c>
      <c r="H39" s="161"/>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154">
        <v>45712</v>
      </c>
      <c r="E40" s="158" t="s">
        <v>263</v>
      </c>
      <c r="F40" s="158"/>
      <c r="G40" s="106">
        <v>0.5</v>
      </c>
      <c r="H40" s="161"/>
      <c r="I40" s="2"/>
      <c r="J40" s="171"/>
      <c r="K40" s="172"/>
      <c r="L40" s="172"/>
      <c r="M40" s="172"/>
      <c r="N40" s="172"/>
      <c r="O40" s="173"/>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154">
        <v>45712</v>
      </c>
      <c r="E41" s="158" t="s">
        <v>269</v>
      </c>
      <c r="F41" s="158"/>
      <c r="G41" s="106">
        <v>0.5</v>
      </c>
      <c r="H41" s="161"/>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154">
        <v>45713</v>
      </c>
      <c r="E42" s="158" t="s">
        <v>271</v>
      </c>
      <c r="F42" s="158"/>
      <c r="G42" s="106">
        <v>0.5</v>
      </c>
      <c r="H42" s="161"/>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154">
        <v>45713</v>
      </c>
      <c r="E43" s="158" t="s">
        <v>273</v>
      </c>
      <c r="F43" s="158"/>
      <c r="G43" s="106">
        <v>0.5</v>
      </c>
      <c r="H43" s="161"/>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154">
        <v>45713</v>
      </c>
      <c r="E44" s="158" t="s">
        <v>271</v>
      </c>
      <c r="F44" s="158"/>
      <c r="G44" s="106">
        <v>0.5</v>
      </c>
      <c r="H44" s="161"/>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154">
        <v>45803</v>
      </c>
      <c r="E45" s="158" t="s">
        <v>276</v>
      </c>
      <c r="F45" s="158"/>
      <c r="G45" s="149">
        <v>0.5</v>
      </c>
      <c r="H45" s="161"/>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154">
        <v>45714</v>
      </c>
      <c r="E46" s="158" t="s">
        <v>271</v>
      </c>
      <c r="F46" s="158"/>
      <c r="G46" s="106">
        <v>0.5</v>
      </c>
      <c r="H46" s="161"/>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154">
        <v>45723</v>
      </c>
      <c r="E47" s="158" t="s">
        <v>271</v>
      </c>
      <c r="F47" s="158"/>
      <c r="G47" s="106">
        <v>1</v>
      </c>
      <c r="H47" s="161"/>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t="s">
        <v>281</v>
      </c>
      <c r="C48" s="78"/>
      <c r="D48" s="81">
        <v>45726</v>
      </c>
      <c r="E48" s="158" t="s">
        <v>282</v>
      </c>
      <c r="F48" s="158"/>
      <c r="G48" s="106">
        <v>0.5</v>
      </c>
      <c r="H48" s="161"/>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c r="C49" s="78"/>
      <c r="D49" s="81"/>
      <c r="E49" s="158"/>
      <c r="F49" s="158"/>
      <c r="G49" s="63"/>
      <c r="H49" s="161"/>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c r="C50" s="78"/>
      <c r="D50" s="58"/>
      <c r="E50" s="158"/>
      <c r="F50" s="158"/>
      <c r="G50" s="63"/>
      <c r="H50" s="161"/>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c r="C51" s="78"/>
      <c r="D51" s="58"/>
      <c r="E51" s="158"/>
      <c r="F51" s="158"/>
      <c r="G51" s="63"/>
      <c r="H51" s="161"/>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c r="C52" s="78"/>
      <c r="D52" s="58"/>
      <c r="E52" s="158"/>
      <c r="F52" s="158"/>
      <c r="G52" s="63"/>
      <c r="H52" s="161"/>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c r="C53" s="78"/>
      <c r="D53" s="58"/>
      <c r="E53" s="158"/>
      <c r="F53" s="158"/>
      <c r="G53" s="63"/>
      <c r="H53" s="161"/>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c r="C54" s="78"/>
      <c r="D54" s="58"/>
      <c r="E54" s="158"/>
      <c r="F54" s="158"/>
      <c r="G54" s="63"/>
      <c r="H54" s="161"/>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c r="C55" s="78"/>
      <c r="D55" s="58"/>
      <c r="E55" s="158"/>
      <c r="F55" s="158"/>
      <c r="G55" s="63"/>
      <c r="H55" s="161"/>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58"/>
      <c r="C56" s="78"/>
      <c r="D56" s="58"/>
      <c r="E56" s="158"/>
      <c r="F56" s="158"/>
      <c r="G56" s="63"/>
      <c r="H56" s="161"/>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58"/>
      <c r="C57" s="78"/>
      <c r="D57" s="58"/>
      <c r="E57" s="158"/>
      <c r="F57" s="158"/>
      <c r="G57" s="63"/>
      <c r="H57" s="161"/>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c r="C58" s="78"/>
      <c r="D58" s="58"/>
      <c r="E58" s="158"/>
      <c r="F58" s="158"/>
      <c r="G58" s="63"/>
      <c r="H58" s="161"/>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c r="C59" s="78"/>
      <c r="D59" s="58"/>
      <c r="E59" s="158"/>
      <c r="F59" s="158"/>
      <c r="G59" s="63"/>
      <c r="H59" s="161"/>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c r="C60" s="78"/>
      <c r="D60" s="58"/>
      <c r="E60" s="158"/>
      <c r="F60" s="158"/>
      <c r="G60" s="63"/>
      <c r="H60" s="161"/>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c r="C61" s="78"/>
      <c r="D61" s="58"/>
      <c r="E61" s="158"/>
      <c r="F61" s="158"/>
      <c r="G61" s="63"/>
      <c r="H61" s="161"/>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25">
      <c r="A62" s="3"/>
      <c r="B62" s="129" t="s">
        <v>7</v>
      </c>
      <c r="C62" s="130"/>
      <c r="D62" s="131"/>
      <c r="E62" s="163"/>
      <c r="F62" s="163"/>
      <c r="G62" s="36">
        <f>SUM(G36:G61)</f>
        <v>15</v>
      </c>
      <c r="H62" s="16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x14ac:dyDescent="0.25">
      <c r="A63" s="3"/>
      <c r="B63" s="136"/>
      <c r="C63" s="132"/>
      <c r="D63" s="133"/>
      <c r="E63" s="1"/>
      <c r="F63" s="1"/>
      <c r="G63" s="137"/>
      <c r="H63" s="128"/>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15.75" thickBot="1" x14ac:dyDescent="0.3">
      <c r="A64" s="3"/>
      <c r="B64" s="134" t="s">
        <v>40</v>
      </c>
      <c r="C64" s="134"/>
      <c r="D64" s="135"/>
      <c r="E64" s="27"/>
      <c r="F64" s="27"/>
      <c r="G64" s="51">
        <f>G62+G19+G28+G63</f>
        <v>45</v>
      </c>
      <c r="H64" s="44"/>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2"/>
      <c r="C65" s="2"/>
      <c r="D65" s="2"/>
      <c r="E65" s="2"/>
      <c r="F65" s="2"/>
      <c r="G65" s="2"/>
      <c r="H65" s="43"/>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25">
      <c r="A66" s="3"/>
      <c r="B66" s="1"/>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58" t="s">
        <v>41</v>
      </c>
      <c r="C67" s="58">
        <f>'List - Hide'!AC11</f>
        <v>487</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58" t="s">
        <v>42</v>
      </c>
      <c r="C68" s="58">
        <f>G64</f>
        <v>45</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58" t="s">
        <v>43</v>
      </c>
      <c r="C69" s="60">
        <f>C67-C68</f>
        <v>442</v>
      </c>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D70" s="2"/>
      <c r="F70" s="2"/>
      <c r="G70" s="2"/>
      <c r="H70" s="37"/>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D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4"/>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2"/>
      <c r="B79" s="2"/>
      <c r="C79" s="2"/>
      <c r="D79" s="2"/>
      <c r="E79" s="2"/>
      <c r="F79" s="2"/>
      <c r="G79" s="2"/>
      <c r="H79" s="2"/>
      <c r="I79" s="5"/>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4"/>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row>
    <row r="145" spans="1:18" x14ac:dyDescent="0.25">
      <c r="A145" s="2"/>
      <c r="B145" s="2"/>
      <c r="C145" s="2"/>
      <c r="D145" s="2"/>
      <c r="E145" s="2"/>
      <c r="F145" s="2"/>
      <c r="G145" s="2"/>
      <c r="H145" s="2"/>
      <c r="I145" s="2"/>
      <c r="J145" s="2"/>
      <c r="K145" s="2"/>
      <c r="L145" s="2"/>
      <c r="M145" s="2"/>
      <c r="N145" s="2"/>
      <c r="O145" s="2"/>
      <c r="P145" s="2"/>
      <c r="Q145" s="2"/>
      <c r="R145" s="2"/>
    </row>
    <row r="146" spans="1:18" x14ac:dyDescent="0.25">
      <c r="A146" s="2"/>
      <c r="B146" s="2"/>
      <c r="C146" s="2"/>
      <c r="D146" s="2"/>
      <c r="E146" s="2"/>
      <c r="F146" s="2"/>
      <c r="G146" s="2"/>
      <c r="H146" s="2"/>
      <c r="I146" s="2"/>
      <c r="J146" s="2"/>
      <c r="K146" s="2"/>
      <c r="L146" s="2"/>
      <c r="M146" s="2"/>
      <c r="N146" s="2"/>
      <c r="O146" s="2"/>
      <c r="P146" s="2"/>
      <c r="Q146" s="2"/>
      <c r="R146" s="2"/>
    </row>
    <row r="147" spans="1:18" x14ac:dyDescent="0.25">
      <c r="A147" s="2"/>
      <c r="B147" s="2"/>
      <c r="C147" s="2"/>
      <c r="D147" s="2"/>
      <c r="E147" s="2"/>
      <c r="F147" s="2"/>
      <c r="G147" s="2"/>
      <c r="H147" s="2"/>
      <c r="I147" s="2"/>
      <c r="J147" s="2"/>
      <c r="K147" s="2"/>
      <c r="L147" s="2"/>
      <c r="M147" s="2"/>
      <c r="N147" s="2"/>
      <c r="O147" s="2"/>
      <c r="P147" s="2"/>
      <c r="Q147" s="2"/>
      <c r="R147" s="2"/>
    </row>
    <row r="148" spans="1:18" x14ac:dyDescent="0.25">
      <c r="A148" s="2"/>
      <c r="B148" s="2"/>
      <c r="C148" s="2"/>
      <c r="D148" s="2"/>
      <c r="E148" s="2"/>
      <c r="F148" s="2"/>
      <c r="G148" s="2"/>
      <c r="H148" s="2"/>
      <c r="I148" s="2"/>
      <c r="J148" s="2"/>
      <c r="K148" s="2"/>
      <c r="L148" s="2"/>
      <c r="M148" s="2"/>
      <c r="N148" s="2"/>
      <c r="O148" s="2"/>
      <c r="P148" s="2"/>
      <c r="Q148" s="2"/>
      <c r="R148" s="2"/>
    </row>
    <row r="149" spans="1:18" x14ac:dyDescent="0.25">
      <c r="A149" s="2"/>
      <c r="B149" s="2"/>
      <c r="C149" s="2"/>
      <c r="D149" s="2"/>
      <c r="E149" s="2"/>
      <c r="F149" s="2"/>
      <c r="G149" s="2"/>
      <c r="H149" s="2"/>
      <c r="I149" s="2"/>
      <c r="J149" s="2"/>
      <c r="K149" s="2"/>
      <c r="L149" s="2"/>
      <c r="M149" s="2"/>
      <c r="N149" s="2"/>
      <c r="O149" s="2"/>
      <c r="P149" s="2"/>
      <c r="Q149" s="2"/>
      <c r="R149" s="2"/>
    </row>
    <row r="150" spans="1:18" x14ac:dyDescent="0.25">
      <c r="A150" s="2"/>
      <c r="B150" s="2"/>
      <c r="C150" s="2"/>
      <c r="D150" s="2"/>
      <c r="E150" s="2"/>
      <c r="F150" s="2"/>
      <c r="G150" s="2"/>
      <c r="H150" s="2"/>
      <c r="I150" s="2"/>
      <c r="J150" s="2"/>
      <c r="K150" s="2"/>
      <c r="L150" s="2"/>
      <c r="M150" s="2"/>
      <c r="N150" s="2"/>
      <c r="O150" s="2"/>
      <c r="P150" s="2"/>
      <c r="Q150" s="2"/>
      <c r="R150" s="2"/>
    </row>
    <row r="151" spans="1:18" x14ac:dyDescent="0.25">
      <c r="A151" s="2"/>
      <c r="B151" s="2"/>
      <c r="C151" s="2"/>
      <c r="D151" s="2"/>
      <c r="E151" s="2"/>
      <c r="F151" s="2"/>
      <c r="G151" s="2"/>
      <c r="H151" s="2"/>
      <c r="I151" s="2"/>
      <c r="J151" s="2"/>
      <c r="K151" s="2"/>
      <c r="L151" s="2"/>
      <c r="M151" s="2"/>
      <c r="N151" s="2"/>
      <c r="O151" s="2"/>
      <c r="P151" s="2"/>
      <c r="Q151" s="2"/>
      <c r="R151" s="2"/>
    </row>
    <row r="152" spans="1:18" x14ac:dyDescent="0.25">
      <c r="A152" s="2"/>
      <c r="B152" s="2"/>
      <c r="C152" s="2"/>
      <c r="D152" s="2"/>
      <c r="E152" s="2"/>
      <c r="F152" s="2"/>
      <c r="G152" s="2"/>
      <c r="H152" s="2"/>
      <c r="I152" s="2"/>
      <c r="J152" s="2"/>
      <c r="K152" s="2"/>
      <c r="L152" s="2"/>
      <c r="M152" s="2"/>
      <c r="N152" s="2"/>
      <c r="O152" s="2"/>
      <c r="P152" s="2"/>
      <c r="Q152" s="2"/>
      <c r="R152" s="2"/>
    </row>
    <row r="153" spans="1:18" x14ac:dyDescent="0.25">
      <c r="A153" s="2"/>
      <c r="B153" s="2"/>
      <c r="C153" s="2"/>
      <c r="D153" s="2"/>
      <c r="E153" s="2"/>
      <c r="F153" s="2"/>
      <c r="G153" s="2"/>
      <c r="H153" s="2"/>
      <c r="I153" s="2"/>
      <c r="J153" s="2"/>
      <c r="K153" s="2"/>
      <c r="L153" s="2"/>
      <c r="M153" s="2"/>
      <c r="N153" s="2"/>
      <c r="O153" s="2"/>
      <c r="P153" s="2"/>
      <c r="Q153" s="2"/>
      <c r="R153" s="2"/>
    </row>
    <row r="154" spans="1:18" x14ac:dyDescent="0.25">
      <c r="A154" s="2"/>
      <c r="B154" s="2"/>
      <c r="C154" s="2"/>
      <c r="D154" s="2"/>
      <c r="E154" s="2"/>
      <c r="F154" s="2"/>
      <c r="G154" s="2"/>
      <c r="H154" s="2"/>
      <c r="I154" s="2"/>
      <c r="J154" s="2"/>
      <c r="K154" s="2"/>
      <c r="L154" s="2"/>
      <c r="M154" s="2"/>
      <c r="N154" s="2"/>
      <c r="O154" s="2"/>
      <c r="P154" s="2"/>
      <c r="Q154" s="2"/>
      <c r="R154" s="2"/>
    </row>
    <row r="155" spans="1:18" x14ac:dyDescent="0.25">
      <c r="A155" s="2"/>
      <c r="B155" s="2"/>
      <c r="C155" s="2"/>
      <c r="D155" s="2"/>
      <c r="E155" s="2"/>
      <c r="F155" s="2"/>
      <c r="G155" s="2"/>
      <c r="H155" s="2"/>
      <c r="I155" s="2"/>
      <c r="J155" s="2"/>
      <c r="K155" s="2"/>
      <c r="L155" s="2"/>
      <c r="M155" s="2"/>
      <c r="N155" s="2"/>
      <c r="O155" s="2"/>
      <c r="P155" s="2"/>
      <c r="Q155" s="2"/>
      <c r="R155" s="2"/>
    </row>
    <row r="156" spans="1:18" x14ac:dyDescent="0.25">
      <c r="A156" s="2"/>
      <c r="B156" s="2"/>
      <c r="C156" s="2"/>
      <c r="D156" s="2"/>
      <c r="E156" s="2"/>
      <c r="F156" s="2"/>
      <c r="G156" s="2"/>
      <c r="H156" s="2"/>
      <c r="I156" s="2"/>
      <c r="J156" s="2"/>
      <c r="K156" s="2"/>
      <c r="L156" s="2"/>
      <c r="M156" s="2"/>
      <c r="N156" s="2"/>
      <c r="O156" s="2"/>
      <c r="P156" s="2"/>
      <c r="Q156" s="2"/>
      <c r="R156" s="2"/>
    </row>
    <row r="157" spans="1:18" x14ac:dyDescent="0.25">
      <c r="A157" s="2"/>
      <c r="B157" s="2"/>
      <c r="C157" s="2"/>
      <c r="D157" s="2"/>
      <c r="E157" s="2"/>
      <c r="F157" s="2"/>
      <c r="G157" s="2"/>
      <c r="H157" s="2"/>
      <c r="I157" s="2"/>
      <c r="J157" s="2"/>
      <c r="K157" s="2"/>
      <c r="L157" s="2"/>
      <c r="M157" s="2"/>
      <c r="N157" s="2"/>
      <c r="O157" s="2"/>
      <c r="P157" s="2"/>
      <c r="Q157" s="2"/>
      <c r="R157" s="2"/>
    </row>
    <row r="158" spans="1:18" x14ac:dyDescent="0.25">
      <c r="A158" s="2"/>
      <c r="B158" s="2"/>
      <c r="C158" s="2"/>
      <c r="D158" s="2"/>
      <c r="E158" s="2"/>
      <c r="F158" s="2"/>
      <c r="G158" s="2"/>
      <c r="H158" s="2"/>
      <c r="I158" s="2"/>
      <c r="J158" s="2"/>
      <c r="K158" s="2"/>
      <c r="L158" s="2"/>
      <c r="M158" s="2"/>
      <c r="N158" s="2"/>
      <c r="O158" s="2"/>
      <c r="P158" s="2"/>
      <c r="Q158" s="2"/>
      <c r="R158" s="2"/>
    </row>
    <row r="159" spans="1:18" x14ac:dyDescent="0.25">
      <c r="A159" s="2"/>
      <c r="B159" s="2"/>
      <c r="C159" s="2"/>
      <c r="D159" s="2"/>
      <c r="E159" s="2"/>
      <c r="F159" s="2"/>
      <c r="G159" s="2"/>
      <c r="H159" s="2"/>
      <c r="I159" s="2"/>
      <c r="J159" s="2"/>
      <c r="K159" s="2"/>
      <c r="L159" s="2"/>
      <c r="M159" s="2"/>
      <c r="N159" s="2"/>
      <c r="O159" s="2"/>
      <c r="P159" s="2"/>
      <c r="Q159" s="2"/>
      <c r="R159" s="2"/>
    </row>
    <row r="160" spans="1:18"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row>
    <row r="272" spans="1:18"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H297" s="2"/>
      <c r="I297" s="2"/>
      <c r="J297" s="2"/>
      <c r="K297" s="2"/>
    </row>
    <row r="298" spans="1:11" x14ac:dyDescent="0.25">
      <c r="A298" s="2"/>
      <c r="H298" s="2"/>
      <c r="I298" s="2"/>
      <c r="J298" s="2"/>
      <c r="K298" s="2"/>
    </row>
    <row r="299" spans="1:11" x14ac:dyDescent="0.25">
      <c r="A299" s="2"/>
      <c r="H299" s="2"/>
      <c r="I299" s="2"/>
      <c r="J299" s="2"/>
      <c r="K299" s="2"/>
    </row>
    <row r="300" spans="1:11" x14ac:dyDescent="0.25">
      <c r="A300" s="2"/>
      <c r="I300" s="2"/>
      <c r="J300" s="2"/>
      <c r="K300" s="2"/>
    </row>
    <row r="301" spans="1:11" x14ac:dyDescent="0.25">
      <c r="A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sheetData>
  <mergeCells count="43">
    <mergeCell ref="B3:G3"/>
    <mergeCell ref="J35:O35"/>
    <mergeCell ref="J37:O37"/>
    <mergeCell ref="J40:O40"/>
    <mergeCell ref="J30:O30"/>
    <mergeCell ref="B29:H29"/>
    <mergeCell ref="B31:F31"/>
    <mergeCell ref="H5:H19"/>
    <mergeCell ref="J2:O2"/>
    <mergeCell ref="J29:O29"/>
    <mergeCell ref="J17:O17"/>
    <mergeCell ref="J5:O5"/>
    <mergeCell ref="J22:O22"/>
    <mergeCell ref="E56:F56"/>
    <mergeCell ref="E57:F57"/>
    <mergeCell ref="E46:F46"/>
    <mergeCell ref="E47:F47"/>
    <mergeCell ref="E35:F35"/>
    <mergeCell ref="E36:F36"/>
    <mergeCell ref="E37:F37"/>
    <mergeCell ref="E39:F39"/>
    <mergeCell ref="E51:F51"/>
    <mergeCell ref="E52:F52"/>
    <mergeCell ref="E53:F53"/>
    <mergeCell ref="E54:F54"/>
    <mergeCell ref="E55:F55"/>
    <mergeCell ref="E38:F38"/>
    <mergeCell ref="E58:F58"/>
    <mergeCell ref="H22:H28"/>
    <mergeCell ref="H35:H62"/>
    <mergeCell ref="E40:F40"/>
    <mergeCell ref="E41:F41"/>
    <mergeCell ref="E42:F42"/>
    <mergeCell ref="E43:F43"/>
    <mergeCell ref="E60:F60"/>
    <mergeCell ref="E61:F61"/>
    <mergeCell ref="E62:F62"/>
    <mergeCell ref="E44:F44"/>
    <mergeCell ref="E45:F45"/>
    <mergeCell ref="E59:F59"/>
    <mergeCell ref="E48:F48"/>
    <mergeCell ref="E49:F49"/>
    <mergeCell ref="E50:F50"/>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C36:C61</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C62:C63 C73:C91 C65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13" workbookViewId="0">
      <selection activeCell="A18" sqref="A18"/>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86"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86" t="s">
        <v>70</v>
      </c>
      <c r="B3" s="87" t="s">
        <v>71</v>
      </c>
      <c r="C3" s="148"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47"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47"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86" t="s">
        <v>82</v>
      </c>
      <c r="B7" s="87" t="s">
        <v>83</v>
      </c>
      <c r="C7" s="87"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87"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86"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86" t="s">
        <v>89</v>
      </c>
      <c r="B10" s="87"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86"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47"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147"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47"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86"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86"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86"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47"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47"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47"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86"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86" t="s">
        <v>123</v>
      </c>
      <c r="B27" s="150"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86" t="s">
        <v>129</v>
      </c>
      <c r="B30" s="87"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86"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91" t="s">
        <v>142</v>
      </c>
      <c r="B2" s="195">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192"/>
      <c r="B3" s="189"/>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192"/>
      <c r="B4" s="189"/>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192"/>
      <c r="B5" s="194"/>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192"/>
      <c r="B6" s="189">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192"/>
      <c r="B7" s="189"/>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192"/>
      <c r="B8" s="189"/>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192"/>
      <c r="B9" s="189"/>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192"/>
      <c r="B10" s="189">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192"/>
      <c r="B11" s="189"/>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192"/>
      <c r="B12" s="189"/>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192"/>
      <c r="B13" s="189"/>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192"/>
      <c r="B14" s="189">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192"/>
      <c r="B15" s="189"/>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192"/>
      <c r="B16" s="189"/>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192"/>
      <c r="B17" s="189"/>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192"/>
      <c r="B18" s="189">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192"/>
      <c r="B19" s="189"/>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192"/>
      <c r="B20" s="189"/>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192"/>
      <c r="B21" s="189"/>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192"/>
      <c r="B22" s="189">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192"/>
      <c r="B23" s="189"/>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192"/>
      <c r="B24" s="189"/>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192"/>
      <c r="B25" s="189"/>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192"/>
      <c r="B26" s="189">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192"/>
      <c r="B27" s="189"/>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192"/>
      <c r="B28" s="189"/>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192"/>
      <c r="B29" s="189"/>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192"/>
      <c r="B30" s="189">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192"/>
      <c r="B31" s="189"/>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192"/>
      <c r="B32" s="189"/>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192"/>
      <c r="B33" s="189"/>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192"/>
      <c r="B34" s="189">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192"/>
      <c r="B35" s="189"/>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192"/>
      <c r="B36" s="189"/>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192"/>
      <c r="B37" s="189"/>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192"/>
      <c r="B38" s="189">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192"/>
      <c r="B39" s="189"/>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192"/>
      <c r="B40" s="189"/>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192"/>
      <c r="B41" s="189"/>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192"/>
      <c r="B42" s="189">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192"/>
      <c r="B43" s="189"/>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192"/>
      <c r="B44" s="189"/>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192"/>
      <c r="B45" s="189"/>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192"/>
      <c r="B46" s="189">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192"/>
      <c r="B47" s="189"/>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192"/>
      <c r="B48" s="189"/>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192"/>
      <c r="B49" s="189"/>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192"/>
      <c r="B50" s="189">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192"/>
      <c r="B51" s="189"/>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192"/>
      <c r="B52" s="189"/>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192"/>
      <c r="B53" s="189"/>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192"/>
      <c r="B54" s="189">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192"/>
      <c r="B55" s="189"/>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192"/>
      <c r="B56" s="189"/>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192"/>
      <c r="B57" s="189"/>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192"/>
      <c r="B58" s="189">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192"/>
      <c r="B59" s="189"/>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192"/>
      <c r="B60" s="189"/>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193"/>
      <c r="B61" s="190"/>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91" t="s">
        <v>136</v>
      </c>
      <c r="B62" s="194">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192"/>
      <c r="B63" s="189"/>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192"/>
      <c r="B64" s="189"/>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192"/>
      <c r="B65" s="189"/>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192"/>
      <c r="B66" s="189">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192"/>
      <c r="B67" s="189"/>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192"/>
      <c r="B68" s="189"/>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192"/>
      <c r="B69" s="189"/>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192"/>
      <c r="B70" s="189">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192"/>
      <c r="B71" s="189"/>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192"/>
      <c r="B72" s="189"/>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192"/>
      <c r="B73" s="189"/>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192"/>
      <c r="B74" s="189">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192"/>
      <c r="B75" s="189"/>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192"/>
      <c r="B76" s="189"/>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193"/>
      <c r="B77" s="190"/>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198" t="s">
        <v>234</v>
      </c>
      <c r="D80" s="199"/>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200" t="s">
        <v>236</v>
      </c>
      <c r="D81" s="201"/>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200" t="s">
        <v>237</v>
      </c>
      <c r="D82" s="201"/>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200" t="s">
        <v>238</v>
      </c>
      <c r="D83" s="201"/>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200" t="s">
        <v>239</v>
      </c>
      <c r="D84" s="201"/>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96" t="s">
        <v>240</v>
      </c>
      <c r="D85" s="197"/>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2" t="s">
        <v>258</v>
      </c>
      <c r="C5" s="203"/>
      <c r="D5" s="203"/>
      <c r="E5" s="203"/>
      <c r="F5" s="203"/>
      <c r="G5" s="203"/>
      <c r="H5" s="203"/>
      <c r="I5" s="203"/>
      <c r="J5" s="203"/>
      <c r="K5" s="203"/>
      <c r="L5" s="203"/>
      <c r="M5" s="203"/>
      <c r="N5" s="204"/>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5" t="s">
        <v>260</v>
      </c>
    </row>
    <row r="11" spans="1:19" x14ac:dyDescent="0.25">
      <c r="B11" s="205"/>
    </row>
    <row r="12" spans="1:19" x14ac:dyDescent="0.25">
      <c r="B12" s="205"/>
    </row>
    <row r="13" spans="1:19" x14ac:dyDescent="0.25">
      <c r="B13" s="205"/>
    </row>
    <row r="14" spans="1:19" x14ac:dyDescent="0.25">
      <c r="B14" s="205"/>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2025-03-10T11:46:49Z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