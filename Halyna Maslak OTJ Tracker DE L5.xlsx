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DE Apprenticeship\Learning-Journal\Learning-Journal\"/>
    </mc:Choice>
  </mc:AlternateContent>
  <xr:revisionPtr revIDLastSave="0" documentId="13_ncr:1_{198B0324-8061-4AA7-BE58-608F992D98A7}" xr6:coauthVersionLast="47" xr6:coauthVersionMax="47" xr10:uidLastSave="{00000000-0000-0000-0000-000000000000}"/>
  <bookViews>
    <workbookView xWindow="-120" yWindow="-120" windowWidth="38640" windowHeight="21240" xr2:uid="{00000000-000D-0000-FFFF-FFFF00000000}"/>
  </bookViews>
  <sheets>
    <sheet name="OTJT Log" sheetId="1" r:id="rId1"/>
    <sheet name="FAQs" sheetId="8" state="hidden" r:id="rId2"/>
    <sheet name="Calculation Rules" sheetId="5" state="hidden" r:id="rId3"/>
    <sheet name="Appendix" sheetId="3" r:id="rId4"/>
    <sheet name="List - Hide" sheetId="4" state="hidden" r:id="rId5"/>
    <sheet name="Check - Hide" sheetId="7" state="hidden" r:id="rId6"/>
    <sheet name="Sheet2" sheetId="2" state="hidden" r:id="rId7"/>
  </sheets>
  <definedNames>
    <definedName name="_xlnm._FilterDatabase" localSheetId="0" hidden="1">'OTJT Log'!$B$35:$E$36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7" i="1" l="1"/>
  <c r="G8" i="1"/>
  <c r="G9" i="1"/>
  <c r="G10" i="1"/>
  <c r="G11" i="1"/>
  <c r="G12" i="1"/>
  <c r="G13" i="1"/>
  <c r="G14" i="1"/>
  <c r="G15" i="1"/>
  <c r="G16" i="1"/>
  <c r="G17" i="1"/>
  <c r="G18" i="1"/>
  <c r="G6" i="1"/>
  <c r="G23" i="1"/>
  <c r="G24" i="1"/>
  <c r="G25" i="1"/>
  <c r="G26" i="1"/>
  <c r="G22" i="1"/>
  <c r="E19" i="1"/>
  <c r="F19" i="1"/>
  <c r="AC9" i="4"/>
  <c r="F28" i="1"/>
  <c r="E28" i="1"/>
  <c r="AF25" i="4"/>
  <c r="Y3" i="4"/>
  <c r="Y2" i="4"/>
  <c r="U3" i="4"/>
  <c r="U4" i="4"/>
  <c r="Y4" i="4" s="1"/>
  <c r="U5" i="4"/>
  <c r="Y5" i="4" s="1"/>
  <c r="U6" i="4"/>
  <c r="Y6" i="4" s="1"/>
  <c r="U7" i="4"/>
  <c r="Y7" i="4" s="1"/>
  <c r="U8" i="4"/>
  <c r="Y8" i="4" s="1"/>
  <c r="U9" i="4"/>
  <c r="Y9" i="4" s="1"/>
  <c r="U10" i="4"/>
  <c r="Y10" i="4" s="1"/>
  <c r="U11" i="4"/>
  <c r="Y11" i="4" s="1"/>
  <c r="U12" i="4"/>
  <c r="Y12" i="4" s="1"/>
  <c r="U13" i="4"/>
  <c r="Y13" i="4" s="1"/>
  <c r="U14" i="4"/>
  <c r="Y14" i="4" s="1"/>
  <c r="U15" i="4"/>
  <c r="Y15" i="4" s="1"/>
  <c r="U16" i="4"/>
  <c r="Y16" i="4" s="1"/>
  <c r="U17" i="4"/>
  <c r="Y17" i="4" s="1"/>
  <c r="U18" i="4"/>
  <c r="Y18" i="4" s="1"/>
  <c r="U19" i="4"/>
  <c r="Y19" i="4" s="1"/>
  <c r="U20" i="4"/>
  <c r="Y20" i="4" s="1"/>
  <c r="U21" i="4"/>
  <c r="Y21" i="4" s="1"/>
  <c r="U22" i="4"/>
  <c r="Y22" i="4" s="1"/>
  <c r="U23" i="4"/>
  <c r="Y23" i="4" s="1"/>
  <c r="U24" i="4"/>
  <c r="Y24" i="4" s="1"/>
  <c r="U25" i="4"/>
  <c r="Y25" i="4" s="1"/>
  <c r="U26" i="4"/>
  <c r="Y26" i="4" s="1"/>
  <c r="U27" i="4"/>
  <c r="Y27" i="4" s="1"/>
  <c r="U28" i="4"/>
  <c r="Y28" i="4" s="1"/>
  <c r="U29" i="4"/>
  <c r="Y29" i="4" s="1"/>
  <c r="U30" i="4"/>
  <c r="Y30" i="4" s="1"/>
  <c r="U31" i="4"/>
  <c r="Y31" i="4" s="1"/>
  <c r="U32" i="4"/>
  <c r="Y32" i="4" s="1"/>
  <c r="U33" i="4"/>
  <c r="Y33" i="4" s="1"/>
  <c r="U34" i="4"/>
  <c r="Y34" i="4" s="1"/>
  <c r="U35" i="4"/>
  <c r="Y35" i="4" s="1"/>
  <c r="U36" i="4"/>
  <c r="Y36" i="4" s="1"/>
  <c r="U37" i="4"/>
  <c r="Y37" i="4" s="1"/>
  <c r="U38" i="4"/>
  <c r="Y38" i="4" s="1"/>
  <c r="U39" i="4"/>
  <c r="Y39" i="4" s="1"/>
  <c r="U40" i="4"/>
  <c r="Y40" i="4" s="1"/>
  <c r="U41" i="4"/>
  <c r="Y41" i="4" s="1"/>
  <c r="U42" i="4"/>
  <c r="Y42" i="4" s="1"/>
  <c r="U43" i="4"/>
  <c r="Y43" i="4" s="1"/>
  <c r="U44" i="4"/>
  <c r="Y44" i="4" s="1"/>
  <c r="U45" i="4"/>
  <c r="Y45" i="4" s="1"/>
  <c r="U46" i="4"/>
  <c r="Y46" i="4" s="1"/>
  <c r="U47" i="4"/>
  <c r="Y47" i="4" s="1"/>
  <c r="U48" i="4"/>
  <c r="Y48" i="4" s="1"/>
  <c r="U49" i="4"/>
  <c r="Y49" i="4" s="1"/>
  <c r="U50" i="4"/>
  <c r="Y50" i="4" s="1"/>
  <c r="U51" i="4"/>
  <c r="Y51" i="4" s="1"/>
  <c r="U52" i="4"/>
  <c r="Y52" i="4" s="1"/>
  <c r="U53" i="4"/>
  <c r="Y53" i="4" s="1"/>
  <c r="U54" i="4"/>
  <c r="Y54" i="4" s="1"/>
  <c r="U55" i="4"/>
  <c r="Y55" i="4" s="1"/>
  <c r="U56" i="4"/>
  <c r="Y56" i="4" s="1"/>
  <c r="U57" i="4"/>
  <c r="Y57" i="4" s="1"/>
  <c r="G28" i="1" l="1"/>
  <c r="G19" i="1"/>
  <c r="AD32" i="4"/>
  <c r="AC32" i="4"/>
  <c r="U58" i="4"/>
  <c r="Y58" i="4" s="1"/>
  <c r="U59" i="4"/>
  <c r="Y59" i="4" s="1"/>
  <c r="U60" i="4"/>
  <c r="Y60" i="4" s="1"/>
  <c r="U61" i="4"/>
  <c r="Y61" i="4" s="1"/>
  <c r="L78" i="4"/>
  <c r="E78" i="4"/>
  <c r="F78" i="4"/>
  <c r="G78" i="4"/>
  <c r="H78" i="4"/>
  <c r="I78" i="4"/>
  <c r="J78" i="4"/>
  <c r="K78" i="4"/>
  <c r="M78" i="4"/>
  <c r="N78" i="4"/>
  <c r="O78" i="4"/>
  <c r="P78" i="4"/>
  <c r="Q78" i="4"/>
  <c r="R78" i="4"/>
  <c r="S78" i="4"/>
  <c r="D78" i="4"/>
  <c r="Y62" i="4"/>
  <c r="Y63" i="4"/>
  <c r="Y64" i="4"/>
  <c r="Y65" i="4"/>
  <c r="Y66" i="4"/>
  <c r="Y67" i="4"/>
  <c r="Y68" i="4"/>
  <c r="Y69" i="4"/>
  <c r="Y70" i="4"/>
  <c r="Y71" i="4"/>
  <c r="Y72" i="4"/>
  <c r="Y73" i="4"/>
  <c r="Y74" i="4"/>
  <c r="Y75" i="4"/>
  <c r="Y76" i="4"/>
  <c r="Y77" i="4"/>
  <c r="V79" i="4"/>
  <c r="W79" i="4"/>
  <c r="X79" i="4"/>
  <c r="Y79" i="4" l="1"/>
  <c r="AC11" i="4" s="1"/>
  <c r="C72" i="1" s="1"/>
  <c r="AC18" i="4"/>
  <c r="AC14" i="4"/>
  <c r="AC19" i="4"/>
  <c r="AC22" i="4"/>
  <c r="AC21" i="4"/>
  <c r="AC20" i="4"/>
  <c r="AC17" i="4"/>
  <c r="AC16" i="4"/>
  <c r="AC15" i="4"/>
  <c r="AC13" i="4"/>
  <c r="AC23" i="4"/>
  <c r="U79" i="4"/>
  <c r="B6" i="7"/>
  <c r="B7" i="7" s="1"/>
  <c r="C10" i="7" s="1"/>
  <c r="AC25" i="4" l="1"/>
  <c r="G67" i="1"/>
  <c r="G69" i="1" s="1"/>
  <c r="C73" i="1" s="1"/>
  <c r="C74" i="1" s="1"/>
  <c r="E85" i="4"/>
  <c r="AD16" i="4"/>
  <c r="C12" i="7"/>
  <c r="C14" i="7" s="1"/>
  <c r="AD17" i="4" l="1"/>
  <c r="AD23" i="4"/>
  <c r="AD24" i="4"/>
  <c r="AD22" i="4"/>
  <c r="AD21" i="4"/>
  <c r="AD20" i="4"/>
  <c r="AD19" i="4"/>
  <c r="AD18" i="4"/>
  <c r="AD15" i="4"/>
  <c r="AD14" i="4"/>
  <c r="AD25" i="4"/>
  <c r="AD13" i="4"/>
  <c r="AE13" i="4" s="1"/>
  <c r="AE14" i="4" l="1"/>
  <c r="AE15" i="4" s="1"/>
  <c r="AE16" i="4" s="1"/>
  <c r="AE17" i="4" s="1"/>
  <c r="AE18" i="4" s="1"/>
  <c r="AE19" i="4" s="1"/>
  <c r="AE20" i="4" s="1"/>
  <c r="AE21" i="4" s="1"/>
  <c r="AE22" i="4" s="1"/>
  <c r="AE23" i="4" s="1"/>
  <c r="AE24" i="4" s="1"/>
</calcChain>
</file>

<file path=xl/sharedStrings.xml><?xml version="1.0" encoding="utf-8"?>
<sst xmlns="http://schemas.openxmlformats.org/spreadsheetml/2006/main" count="389" uniqueCount="310">
  <si>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</si>
  <si>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</si>
  <si>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PQ Modules*</t>
  </si>
  <si>
    <t>Webinar and Exam/Assignment Completed</t>
  </si>
  <si>
    <t>Date Completed (must be after start date of Apprenticeship)</t>
  </si>
  <si>
    <t>Contact Hours</t>
  </si>
  <si>
    <t>Additional Time spent during contractual working hours (e-learning)</t>
  </si>
  <si>
    <t>TOTAL</t>
  </si>
  <si>
    <t>Induction Data Fundamentals</t>
  </si>
  <si>
    <t>Data Fundamentals</t>
  </si>
  <si>
    <t>Databases and Data Lakes</t>
  </si>
  <si>
    <t>Programming and Scrippting Essentials</t>
  </si>
  <si>
    <t>Networks Essentials and Cyber Security</t>
  </si>
  <si>
    <t>Cloud Engineering</t>
  </si>
  <si>
    <t>Data Collection and Ingestion 1</t>
  </si>
  <si>
    <t>Data Collection and Ingestion 2</t>
  </si>
  <si>
    <t>Data Pipelines</t>
  </si>
  <si>
    <t>Data Responsibilities</t>
  </si>
  <si>
    <t>Production Environment</t>
  </si>
  <si>
    <t>Data Products</t>
  </si>
  <si>
    <t>Data Futures</t>
  </si>
  <si>
    <t>TOTAL HOURS FROM STUDIES</t>
  </si>
  <si>
    <t>Skills &amp; Behaviours</t>
  </si>
  <si>
    <t>Submitted</t>
  </si>
  <si>
    <t>Date Submitted</t>
  </si>
  <si>
    <t>Hours</t>
  </si>
  <si>
    <t>Additional Time spent during contractual working hours if applicable</t>
  </si>
  <si>
    <t xml:space="preserve">Portfolio Task 1 </t>
  </si>
  <si>
    <t>Portfolio Task 2</t>
  </si>
  <si>
    <t>Portfolio Task 3</t>
  </si>
  <si>
    <t>Portfolio Task 4</t>
  </si>
  <si>
    <t>Portfolio Task 5</t>
  </si>
  <si>
    <t>Continuing Professional Development Log - include below any additional training courses provided by your employer that fulfils the following criteria:</t>
  </si>
  <si>
    <t>1. The training completed has helped you to perform in your role more effectively</t>
  </si>
  <si>
    <t>2. The training aligns to the learning outcomes of your programme. (Note that courses made available to all new employees such as Health and Safety don’t count unless they specifically benefit your role)</t>
  </si>
  <si>
    <t>Please enter any additional Employer Provided Training (delivered internally or externally)
Do not include any activity which relates the Professional Qualification or S&amp;B assignments</t>
  </si>
  <si>
    <t>*Select which learning outcome the training related to</t>
  </si>
  <si>
    <t>Date Completed</t>
  </si>
  <si>
    <t>What did you learn from this?  How has the activity benefitted your understanding?</t>
  </si>
  <si>
    <t>*For each activity identified show how it maps to the Knowledge, Skills and Behaviours set out in the Standard in Column C. See Appendix for descriptions and learning outcome for the Skills and Behaviours</t>
  </si>
  <si>
    <t>GRAND TOTAL</t>
  </si>
  <si>
    <t>Total required</t>
  </si>
  <si>
    <t>Completed to date</t>
  </si>
  <si>
    <t xml:space="preserve">Outstanding </t>
  </si>
  <si>
    <t>FAQs</t>
  </si>
  <si>
    <t>Question</t>
  </si>
  <si>
    <t>Answer</t>
  </si>
  <si>
    <t>Is time spent sitting the exam included within the BPP hours for that exam or can it be added?</t>
  </si>
  <si>
    <t>Can time spent on Research on a specific job be included on the OTJT?</t>
  </si>
  <si>
    <t>Can study leave other than attending BPP courses be included?</t>
  </si>
  <si>
    <t>Can training on compliance be included?</t>
  </si>
  <si>
    <t>You can only include compliance training if it relevant to your role and it is not generic training.</t>
  </si>
  <si>
    <t>When and where do I submit this?</t>
  </si>
  <si>
    <t>You can submit this informally for us to review and provide feedback on before any of your review calls. You will formally submit it before your gateway call. Please send it to performancesupport@bbp.com at least 48 hours before your review call.</t>
  </si>
  <si>
    <t>Should my Line manager sign my log?</t>
  </si>
  <si>
    <t>No</t>
  </si>
  <si>
    <t>Should study days for BPP exams be included?</t>
  </si>
  <si>
    <t>Only if they are during contracted hours</t>
  </si>
  <si>
    <t>Should time on retakes be included?</t>
  </si>
  <si>
    <t>Should the webinars within the course subjects (on exam technique) be incldued?</t>
  </si>
  <si>
    <t>Yes</t>
  </si>
  <si>
    <t>Can I add time that I spend on S&amp;B in addition to the 45 hours recorded?</t>
  </si>
  <si>
    <t>Yes, as long as it is in contractual hours</t>
  </si>
  <si>
    <t>What parts of the course (ALS, question bank) can be incldued?</t>
  </si>
  <si>
    <t>Knowledge</t>
  </si>
  <si>
    <t>Skills</t>
  </si>
  <si>
    <t>Behaviours</t>
  </si>
  <si>
    <t>K1: Processes to monitor and optimise the performance of the availability, management and performance of data product.</t>
  </si>
  <si>
    <t>S1: Collate, evaluate and refine user requirements to design the data product.</t>
  </si>
  <si>
    <t>B1: Acts proactively and takes accountability adapting positively to changing work priorities, ensuring deadlines are met.</t>
  </si>
  <si>
    <t>K2: Methodologies for moving data from one system to another for storage and further handling.</t>
  </si>
  <si>
    <t>S2: Collate, evaluate and refine business requirements including cost, resourcing, and accessibility to design the data product.</t>
  </si>
  <si>
    <t>B2: Works collaboratively with stakeholders and colleagues, developing strong working relationships to achieve common goals. Support an inclusive culture and treat technical and none technical colleagues and stakeholders with respect.</t>
  </si>
  <si>
    <t>K3: Data normalisation principles and the advantages they achieve in databases for data protection, redundancy, and inconsistent dependency.</t>
  </si>
  <si>
    <t>S3: Design a data product to serve multiple needs and with scalability, efficiency, and security in mind.</t>
  </si>
  <si>
    <t>B3: Quality focus that promotes continuous improvement utilising peer review techniques, innovation and creativity to the data system development process to improve processes and address business challenges.</t>
  </si>
  <si>
    <t>K4: Frameworks for data quality, covering dimensions such as accuracy, completeness, consistency, timeliness, and accessibility.</t>
  </si>
  <si>
    <t>S4: Automate data pipelines such as batch, real-time, on demand and other processes using either programming languages and data integration platforms with graphical user interfaces.</t>
  </si>
  <si>
    <t>B4: Takes personal responsibility towards net zero and prioritises environmental sustainability outcomes in how they carry out the duties of their role.</t>
  </si>
  <si>
    <t>K5: The inherent risks of data such as incomplete data, ethical data sources and how to ensure data quality.</t>
  </si>
  <si>
    <t>S5: Produce and maintain technical documentation explaining the data product, that meets organisational, technical and non-technical user requirements, retaining critical information.</t>
  </si>
  <si>
    <t>B5: Use initiative and innovation to problem solve and trouble shoot, providing creative solutions.</t>
  </si>
  <si>
    <t>K6: Software development principles for data products, including debugging, version control, and testing.</t>
  </si>
  <si>
    <t>S6: Systematically clean, validate, and describe data at all stages of extract, transform, load (ETL).</t>
  </si>
  <si>
    <t>B6: Keeps abreast of developments in emerging, contemporary and advanced technologies to optimise sustainable data products and services.</t>
  </si>
  <si>
    <t>K7: Principles of sustainable data products and organisational responsibilities for environmental social governance.</t>
  </si>
  <si>
    <t>S7: Work with different types of data stores, such as SQL, NoSQL, and distributed file system.</t>
  </si>
  <si>
    <t>K8: Deployment approaches for new data pipelines and automated processes.</t>
  </si>
  <si>
    <t>S8: Identify and troubleshoot issues with data processing pipelines.</t>
  </si>
  <si>
    <t>K9: How to build a data product that complies with regulatory requirements.</t>
  </si>
  <si>
    <t>S9: Query and manipulate data using tools and programming such as SQL and Python. Manage database access, and implement automated validation checks.</t>
  </si>
  <si>
    <t>K10: Concepts of data governance, including regulatory requirements, data privacy, security, and quality control. Legislation and its application to the safe use of data.</t>
  </si>
  <si>
    <t>S10: Communicate downtime and issues with database access to stakeholders to mitigate the operational impact of unforeseen issues.</t>
  </si>
  <si>
    <t>K11: Data and information security standards, ethical practices, policies and procedures relevant to data management activities such as data lineage and metadata management.</t>
  </si>
  <si>
    <t>S11: Evaluate opportunities to extract value from existing data products through further development, considering costs, environmental impact and potential operational benefits.</t>
  </si>
  <si>
    <t>K12: How to cost and build a system whilst ensuring that organisational strategies for sustainable, net zero technologies are considered.</t>
  </si>
  <si>
    <t>S12: Maintain a working knowledge of data use cases within organisations.</t>
  </si>
  <si>
    <t>K13: The implications of financial, strategic and compliance regarding to security, scalability, compliance and cost of local, remote or distributed solutions.</t>
  </si>
  <si>
    <t>S13: Use data systems securely to meet requirements and in line with organisational procedures and legislation.</t>
  </si>
  <si>
    <t>K14: The uses of on-demand Cloud computing platform(s) in a public or private environment such as Amazon AWS, Google Cloud, Hadoop, IBM Cloud, Salesforce and Microsoft Azure.</t>
  </si>
  <si>
    <t>S14: Identify new tools and technologies and recommend potential opportunities for use in own department or organisation.</t>
  </si>
  <si>
    <t>K15: Data warehousing principles, including techniques such as star schemas, data lakes, and data marts.</t>
  </si>
  <si>
    <t>S15: Optimise data ingestion processes by making use of appropriate data ingestion frameworks such as batch, streaming and on-demand.</t>
  </si>
  <si>
    <t>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</si>
  <si>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S16: Develop algorithms and processes to extract structured data from unstructured sources.</t>
  </si>
  <si>
    <t>K17: Approaches to data integration and how combining disparate data sources delivers value to an organisation.</t>
  </si>
  <si>
    <t>S17: Apply and advocate for software development best practice when working with other data professionals throughout the business. Contribute to standards and ways of working that support software development principles.</t>
  </si>
  <si>
    <t>K18: How to use streaming, batching and on-demand services to move data from one location to another.</t>
  </si>
  <si>
    <t>S18: Develop simple forecasts and monitoring tools to anticipate or respond immediately to outages and incidents.</t>
  </si>
  <si>
    <t>K19: Differences between structured, semi-structured, and unstructured data.</t>
  </si>
  <si>
    <t>S19: Identify and escalate risks with suggested mitigation/resolutions as appropriate.</t>
  </si>
  <si>
    <t>K20: Types and uses of data engineering tools and applications in own organisation.</t>
  </si>
  <si>
    <t>S20: Investigate and respond to incidents, identifying the root cause and resolution with internal and external stakeholders.</t>
  </si>
  <si>
    <t>K21: Policies and strategies to ensure business continuity for operations, particularly in relation to data provision.</t>
  </si>
  <si>
    <t>S21: Identify and remediate technical debt, assess for updates and obsolescence as part of continuous improvement.</t>
  </si>
  <si>
    <t>K22: Technology and service management best practice including configuration, change and incident management.</t>
  </si>
  <si>
    <t>S22: Develop, maintain collaborative relationships using adaptive business methodology with stakeholders such as, business users, data scientists, data analysts and business intelligence teams.</t>
  </si>
  <si>
    <t>K23: How to undertake analysis and root cause investigation.</t>
  </si>
  <si>
    <t>S23: Present, communicate, and disseminate messages about the data product, tailoring the message and medium to the needs of the audience.</t>
  </si>
  <si>
    <t>K24: Processes for evaluating prototypes and taking them to implementation within a production environment.</t>
  </si>
  <si>
    <t>S24: Evaluate the strengths and weaknesses of prototype data products and how these integrate within an organisation’s overarching data infrastructure.</t>
  </si>
  <si>
    <t>K25: The lifecycle of implementing data solutions in a business, from scoping, though prototyping, development, production, and continuous improvement.</t>
  </si>
  <si>
    <t>S25: Assess and identify gaps in existing tools and technologies in respect of implementing changes required.</t>
  </si>
  <si>
    <t>K26: Data development frameworks and approved organisational architectures.</t>
  </si>
  <si>
    <t>S26: Identify data quality metrics and track them to ensure the quality, accuracy and reliability of the data product.</t>
  </si>
  <si>
    <t>K27: The principles of descriptive, predictive and prescriptive analytics.</t>
  </si>
  <si>
    <t>S27: Selects and apply sustainable solutions to contribute to net zero and environmental strategies across the various stages of product and service delivery.</t>
  </si>
  <si>
    <t>K28: Continuous improvement including how to: capture good practice and lessons learned.</t>
  </si>
  <si>
    <t>S28: Horizon scanning to identify new technologies that offer increased performance of data products.</t>
  </si>
  <si>
    <t>K29: Strategies for keeping up to date with new ways of working and technological developments in data science, data engineering and AI.</t>
  </si>
  <si>
    <t>S29: Implement personal strategies to keep up to date with new technology and ways of working.</t>
  </si>
  <si>
    <t>K30: The methods and techniques used to communicate messages to meet the needs of the audience.</t>
  </si>
  <si>
    <t>Assessments</t>
  </si>
  <si>
    <t xml:space="preserve">Induction </t>
  </si>
  <si>
    <t>Coaching calls</t>
  </si>
  <si>
    <t>Portfolio Submissions</t>
  </si>
  <si>
    <t>EPA</t>
  </si>
  <si>
    <t>Live</t>
  </si>
  <si>
    <t>Portfolio</t>
  </si>
  <si>
    <t xml:space="preserve">Directed Learning </t>
  </si>
  <si>
    <t xml:space="preserve">Coaching </t>
  </si>
  <si>
    <t xml:space="preserve">Total </t>
  </si>
  <si>
    <t>Standard Delivery</t>
  </si>
  <si>
    <t>Week 1</t>
  </si>
  <si>
    <t>Week 2</t>
  </si>
  <si>
    <t>Week 3</t>
  </si>
  <si>
    <t>Week 4</t>
  </si>
  <si>
    <t>Week 5</t>
  </si>
  <si>
    <t>Week 6</t>
  </si>
  <si>
    <t>Week 7</t>
  </si>
  <si>
    <t>Week 8</t>
  </si>
  <si>
    <t>Induction</t>
  </si>
  <si>
    <t>Week 9</t>
  </si>
  <si>
    <t>% programme</t>
  </si>
  <si>
    <t>OLL &amp; coach</t>
  </si>
  <si>
    <t>Week 10</t>
  </si>
  <si>
    <t>Hours of programme</t>
  </si>
  <si>
    <t>Week 11</t>
  </si>
  <si>
    <t>Hrs</t>
  </si>
  <si>
    <t>%</t>
  </si>
  <si>
    <t>Cum %</t>
  </si>
  <si>
    <t>Coach Hrs</t>
  </si>
  <si>
    <t>Week 12</t>
  </si>
  <si>
    <t> </t>
  </si>
  <si>
    <t>Week 13</t>
  </si>
  <si>
    <t>Week 14</t>
  </si>
  <si>
    <t>Week 15</t>
  </si>
  <si>
    <t>Week 16</t>
  </si>
  <si>
    <t>Week 17</t>
  </si>
  <si>
    <t>Week 18</t>
  </si>
  <si>
    <t>Week 19</t>
  </si>
  <si>
    <t>Week 20</t>
  </si>
  <si>
    <t>Week 21</t>
  </si>
  <si>
    <t>Week 22</t>
  </si>
  <si>
    <t>Week 23</t>
  </si>
  <si>
    <t>Week 24</t>
  </si>
  <si>
    <t>Week 25</t>
  </si>
  <si>
    <t>Week 26</t>
  </si>
  <si>
    <t>Milestones 1</t>
  </si>
  <si>
    <t>Week 27</t>
  </si>
  <si>
    <t>Milestones 2</t>
  </si>
  <si>
    <t>Week 28</t>
  </si>
  <si>
    <t>Group Project</t>
  </si>
  <si>
    <t>Milestones 3</t>
  </si>
  <si>
    <t>Week 29</t>
  </si>
  <si>
    <t>Milestones 4</t>
  </si>
  <si>
    <t>Week 30</t>
  </si>
  <si>
    <t>Milestones 5</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</si>
  <si>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</si>
  <si>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</si>
  <si>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</si>
  <si>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</si>
  <si>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</si>
  <si>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</si>
  <si>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</si>
  <si>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</si>
  <si>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</si>
  <si>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</si>
  <si>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</si>
  <si>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</si>
  <si>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</si>
  <si>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</si>
  <si>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</si>
  <si>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</si>
  <si>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</si>
  <si>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</si>
  <si>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</si>
  <si>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</si>
  <si>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</si>
  <si>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</si>
  <si>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Week 53</t>
  </si>
  <si>
    <t>Week 54</t>
  </si>
  <si>
    <t>Week 55</t>
  </si>
  <si>
    <t>Week 56</t>
  </si>
  <si>
    <t>Week 57</t>
  </si>
  <si>
    <t>Week 58</t>
  </si>
  <si>
    <t>Week 59</t>
  </si>
  <si>
    <t>Week 60</t>
  </si>
  <si>
    <t>Week 61</t>
  </si>
  <si>
    <t>Week 62</t>
  </si>
  <si>
    <t>Week 63</t>
  </si>
  <si>
    <t>Week 64</t>
  </si>
  <si>
    <t>Week 65</t>
  </si>
  <si>
    <t>Week 66</t>
  </si>
  <si>
    <t>Week 67</t>
  </si>
  <si>
    <t>Week 68</t>
  </si>
  <si>
    <t>Week 69</t>
  </si>
  <si>
    <t>Week 70</t>
  </si>
  <si>
    <t>Week 71</t>
  </si>
  <si>
    <t>Week 72</t>
  </si>
  <si>
    <t>Week 73</t>
  </si>
  <si>
    <t>Week 74</t>
  </si>
  <si>
    <t>Week 75</t>
  </si>
  <si>
    <t>Week 76</t>
  </si>
  <si>
    <t>Programme Weeks</t>
  </si>
  <si>
    <t>OTJ Target</t>
  </si>
  <si>
    <t xml:space="preserve">Working days </t>
  </si>
  <si>
    <t>Days leave</t>
  </si>
  <si>
    <t xml:space="preserve">Working Days </t>
  </si>
  <si>
    <t>OTJ days</t>
  </si>
  <si>
    <t>OTJ Hours</t>
  </si>
  <si>
    <t>TRAINING REQUIREMENT CHECK</t>
  </si>
  <si>
    <t>Start date of apprenticeship</t>
  </si>
  <si>
    <t>enter value here</t>
  </si>
  <si>
    <t>date of GW call</t>
  </si>
  <si>
    <t>No. days in programme</t>
  </si>
  <si>
    <t>Don't amend</t>
  </si>
  <si>
    <t>No years in programme</t>
  </si>
  <si>
    <t>Contracted hours</t>
  </si>
  <si>
    <t>Total required hours</t>
  </si>
  <si>
    <t xml:space="preserve">HOW DOES THE ANNUAL LEAVE ALLOWANCE WORK?  DOES THIS NEED TO BE </t>
  </si>
  <si>
    <t>TAKEN INTO ACCOUNT HERE?</t>
  </si>
  <si>
    <t>Actual Hours from OTJT Log</t>
  </si>
  <si>
    <t>Excess / (Shortfall)</t>
  </si>
  <si>
    <t>We can password protect this sheet later</t>
  </si>
  <si>
    <t>OFF THE JOB TRAINING LOG</t>
  </si>
  <si>
    <t>In order to include internal training as part of the 20% Off-The-Job-Training requirement, it needs to fulfil the following criteria:</t>
  </si>
  <si>
    <r>
      <rPr>
        <b/>
        <sz val="10"/>
        <color theme="1" tint="0.249977111117893"/>
        <rFont val="Calibri"/>
        <family val="2"/>
        <scheme val="minor"/>
      </rPr>
      <t>Be relevant to the role that the apprentice is undertaking</t>
    </r>
    <r>
      <rPr>
        <sz val="10"/>
        <color theme="1" tint="0.249977111117893"/>
        <rFont val="Calibri"/>
        <family val="2"/>
        <scheme val="minor"/>
      </rPr>
      <t xml:space="preserve"> ie is the learner developing their ability to perform their role through attending this course?</t>
    </r>
  </si>
  <si>
    <r>
      <rPr>
        <b/>
        <sz val="10"/>
        <color theme="1" tint="0.249977111117893"/>
        <rFont val="Calibri"/>
        <family val="2"/>
        <scheme val="minor"/>
      </rPr>
      <t>Be specific to the apprenticeship</t>
    </r>
    <r>
      <rPr>
        <sz val="10"/>
        <color theme="1" tint="0.249977111117893"/>
        <rFont val="Calibri"/>
        <family val="2"/>
        <scheme val="minor"/>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</si>
  <si>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sz val="10"/>
        <color theme="1" tint="0.249977111117893"/>
        <rFont val="Calibri"/>
        <family val="2"/>
        <scheme val="minor"/>
      </rPr>
      <t>Cover one or more of the Knowledge, Skills and Behaviours</t>
    </r>
    <r>
      <rPr>
        <sz val="10"/>
        <color theme="1" tint="0.249977111117893"/>
        <rFont val="Calibri"/>
        <family val="2"/>
        <scheme val="minor"/>
      </rPr>
      <t xml:space="preserve"> as set out in the Apprenticeship Standard – detailed learning outcomes are provided in the appendix.</t>
    </r>
  </si>
  <si>
    <t>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</si>
  <si>
    <t>Halyna Maslak</t>
  </si>
  <si>
    <t>Skills for Data: Data Quality Rules</t>
  </si>
  <si>
    <t>K4, K5</t>
  </si>
  <si>
    <t>Data Issue Management</t>
  </si>
  <si>
    <t>What is Producer and Consumer</t>
  </si>
  <si>
    <t>Recording a Data Issue</t>
  </si>
  <si>
    <t>Data Resilience</t>
  </si>
  <si>
    <t>K4, K5, B2, K10</t>
  </si>
  <si>
    <t>K20, K21</t>
  </si>
  <si>
    <t>The Data Products Hub</t>
  </si>
  <si>
    <t>K11</t>
  </si>
  <si>
    <t>Data Issue Surgery</t>
  </si>
  <si>
    <t>K4, K5, K13</t>
  </si>
  <si>
    <t>Navigating the Data Product Catalogue on Collibra</t>
  </si>
  <si>
    <t>Ataccama - data by Design</t>
  </si>
  <si>
    <t>K4, K5, S26</t>
  </si>
  <si>
    <t>Collibra: What Can It Do?</t>
  </si>
  <si>
    <t>Introduction to Data Products</t>
  </si>
  <si>
    <t>National Apprenticeship Week - BPP</t>
  </si>
  <si>
    <t>K10, K16, B2</t>
  </si>
  <si>
    <t>Cloud Inspire - IDP Adoption</t>
  </si>
  <si>
    <t>K14</t>
  </si>
  <si>
    <t>Snowflake Workshop - Women in Data flagship event</t>
  </si>
  <si>
    <t>S7, S9</t>
  </si>
  <si>
    <t>Understanding Collibra Workflows</t>
  </si>
  <si>
    <t>Collibra Meets Cloud: GCP Integration Explained</t>
  </si>
  <si>
    <t>Google Cloud Professional Data Engineer Certification</t>
  </si>
  <si>
    <t>Application of Statistics with Google</t>
  </si>
  <si>
    <t>Google Hero in Data Management</t>
  </si>
  <si>
    <t>End to End View of Data Products in GCP</t>
  </si>
  <si>
    <t>Data Quality Uplift for Data Products</t>
  </si>
  <si>
    <t>Building Data Products in GCP BigQuery</t>
  </si>
  <si>
    <t>SQL OLAP and Windowing Functions</t>
  </si>
  <si>
    <t>Shadowing: Data Engineering in Finance</t>
  </si>
  <si>
    <t>K11, K10</t>
  </si>
  <si>
    <t>S7</t>
  </si>
  <si>
    <t>K11, K14</t>
  </si>
  <si>
    <t>K4, K5, K9, K10</t>
  </si>
  <si>
    <t>K10, K14</t>
  </si>
  <si>
    <t>S9</t>
  </si>
  <si>
    <t>K1, K2, K6, K8, K14, K17, K18, K20, K25</t>
  </si>
  <si>
    <t>K14, K26, K29, S29, B6</t>
  </si>
  <si>
    <t>Responsible AI</t>
  </si>
  <si>
    <t>K29, S29</t>
  </si>
  <si>
    <t>What Not to Do: Data Storytelling</t>
  </si>
  <si>
    <t>K30</t>
  </si>
  <si>
    <t>Project: data cleaning and transformation in Python</t>
  </si>
  <si>
    <t>Show&amp;Tell: Engineering in Finance</t>
  </si>
  <si>
    <t>K14, K28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</si>
</sst>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3" x14ac:knownFonts="1">
    <font>
      <sz val="11"/>
      <color theme="1"/>
      <name val="Calibri"/>
      <family val="2"/>
      <scheme val="minor"/>
    </font>
    <font>
      <b/>
      <sz val="11"/>
      <color theme="1"/>
      <name val="Calibri"/>
      <family val="2"/>
      <scheme val="minor"/>
    </font>
    <font>
      <sz val="11"/>
      <color theme="1" tint="0.249977111117893"/>
      <name val="Calibri"/>
      <family val="2"/>
      <scheme val="minor"/>
    </font>
    <font>
      <b/>
      <sz val="10"/>
      <color theme="1"/>
      <name val="Calibri"/>
      <family val="2"/>
      <scheme val="minor"/>
    </font>
    <font>
      <sz val="10"/>
      <color theme="1"/>
      <name val="Arial"/>
      <family val="2"/>
    </font>
    <font>
      <b/>
      <sz val="14"/>
      <color theme="0" tint="-0.499984740745262"/>
      <name val="Arial"/>
      <family val="2"/>
    </font>
    <font>
      <sz val="14"/>
      <color theme="0" tint="-0.499984740745262"/>
      <name val="Arial"/>
      <family val="2"/>
    </font>
    <font>
      <sz val="10"/>
      <color theme="0" tint="-0.499984740745262"/>
      <name val="Arial"/>
      <family val="2"/>
    </font>
    <font>
      <b/>
      <sz val="10"/>
      <color theme="1" tint="0.249977111117893"/>
      <name val="Calibri"/>
      <family val="2"/>
      <scheme val="minor"/>
    </font>
    <font>
      <sz val="10"/>
      <color theme="1" tint="0.249977111117893"/>
      <name val="Calibri"/>
      <family val="2"/>
      <scheme val="minor"/>
    </font>
    <font>
      <u/>
      <sz val="10"/>
      <color theme="1" tint="0.249977111117893"/>
      <name val="Calibri"/>
      <family val="2"/>
      <scheme val="minor"/>
    </font>
    <font>
      <sz val="11"/>
      <color rgb="FF000000"/>
      <name val="Calibri"/>
      <family val="2"/>
      <scheme val="minor"/>
    </font>
    <font>
      <sz val="11"/>
      <color rgb="FFFF0000"/>
      <name val="Calibri"/>
      <family val="2"/>
      <scheme val="minor"/>
    </font>
    <font>
      <i/>
      <sz val="11"/>
      <color theme="1"/>
      <name val="Calibri"/>
      <family val="2"/>
      <scheme val="minor"/>
    </font>
    <font>
      <b/>
      <sz val="11"/>
      <color rgb="FFFF0000"/>
      <name val="Calibri"/>
      <family val="2"/>
      <scheme val="minor"/>
    </font>
    <font>
      <sz val="11"/>
      <name val="Calibri"/>
      <family val="2"/>
      <scheme val="minor"/>
    </font>
    <font>
      <b/>
      <sz val="11"/>
      <color rgb="FF000000"/>
      <name val="Calibri"/>
      <family val="2"/>
      <scheme val="minor"/>
    </font>
    <font>
      <b/>
      <sz val="14"/>
      <color theme="1"/>
      <name val="Calibri"/>
      <family val="2"/>
      <scheme val="minor"/>
    </font>
    <font>
      <b/>
      <i/>
      <sz val="11"/>
      <color theme="1"/>
      <name val="Calibri"/>
      <family val="2"/>
      <scheme val="minor"/>
    </font>
    <font>
      <sz val="20"/>
      <color theme="1"/>
      <name val="Calibri"/>
      <family val="2"/>
      <scheme val="minor"/>
    </font>
    <font>
      <u/>
      <sz val="11"/>
      <color theme="1"/>
      <name val="Calibri"/>
      <family val="2"/>
      <scheme val="minor"/>
    </font>
    <font>
      <sz val="12"/>
      <color theme="1"/>
      <name val="Calibri"/>
      <family val="2"/>
      <scheme val="minor"/>
    </font>
    <font>
      <i/>
      <sz val="11"/>
      <color rgb="FF000000"/>
      <name val="Calibri"/>
      <family val="2"/>
    </font>
    <font>
      <u/>
      <sz val="12"/>
      <color theme="1"/>
      <name val="Calibri"/>
      <family val="2"/>
      <scheme val="minor"/>
    </font>
    <font>
      <sz val="8"/>
      <name val="Calibri"/>
      <family val="2"/>
      <scheme val="minor"/>
    </font>
    <font>
      <sz val="11"/>
      <color rgb="FF000000"/>
      <name val="Calibri"/>
      <family val="2"/>
    </font>
    <font>
      <sz val="10"/>
      <color rgb="FF334047"/>
      <name val="Arial"/>
      <family val="2"/>
    </font>
    <font>
      <b/>
      <sz val="11"/>
      <color rgb="FF000000"/>
      <name val="Calibri"/>
      <family val="2"/>
    </font>
    <font>
      <sz val="11"/>
      <color rgb="FF000000"/>
      <name val="Calibri"/>
      <family val="2"/>
    </font>
    <font>
      <sz val="11"/>
      <color theme="1"/>
      <name val="Calibri"/>
      <family val="2"/>
      <scheme val="minor"/>
    </font>
    <font>
      <sz val="8"/>
      <color rgb="FF3C3C3B"/>
      <name val="Calibri"/>
      <family val="2"/>
    </font>
    <font>
      <sz val="11"/>
      <color theme="1"/>
      <name val="Calibri"/>
      <family val="2"/>
      <charset val="204"/>
      <scheme val="minor"/>
    </font>
    <font>
      <sz val="11"/>
      <color rgb="FF000000"/>
      <name val="Calibri"/>
      <family val="2"/>
      <charset val="204"/>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B050"/>
        <bgColor rgb="FF000000"/>
      </patternFill>
    </fill>
    <fill>
      <patternFill patternType="solid">
        <fgColor theme="9" tint="0.79998168889431442"/>
        <bgColor indexed="64"/>
      </patternFill>
    </fill>
  </fills>
  <borders count="70">
    <border>
      <left/>
      <right/>
      <top/>
      <bottom/>
      <diagonal/>
    </border>
    <border>
      <left/>
      <right style="thin">
        <color theme="0"/>
      </right>
      <top/>
      <bottom/>
      <diagonal/>
    </border>
    <border>
      <left/>
      <right style="thin">
        <color theme="0"/>
      </right>
      <top/>
      <bottom style="thin">
        <color theme="0"/>
      </bottom>
      <diagonal/>
    </border>
    <border>
      <left/>
      <right/>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style="thin">
        <color theme="0"/>
      </right>
      <top style="thin">
        <color theme="0"/>
      </top>
      <bottom style="thin">
        <color theme="0"/>
      </bottom>
      <diagonal/>
    </border>
    <border>
      <left/>
      <right/>
      <top style="thin">
        <color theme="0" tint="-0.249977111117893"/>
      </top>
      <bottom/>
      <diagonal/>
    </border>
    <border>
      <left style="thin">
        <color theme="0" tint="-0.249977111117893"/>
      </left>
      <right/>
      <top style="thin">
        <color theme="0" tint="-0.249977111117893"/>
      </top>
      <bottom/>
      <diagonal/>
    </border>
    <border>
      <left/>
      <right/>
      <top style="thin">
        <color theme="0"/>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0"/>
      </left>
      <right style="thin">
        <color theme="0"/>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theme="0"/>
      </left>
      <right style="thin">
        <color theme="0"/>
      </right>
      <top/>
      <bottom/>
      <diagonal/>
    </border>
    <border>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theme="0"/>
      </left>
      <right/>
      <top/>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theme="0"/>
      </right>
      <top style="thin">
        <color theme="0"/>
      </top>
      <bottom/>
      <diagonal/>
    </border>
    <border>
      <left style="thin">
        <color theme="0"/>
      </left>
      <right/>
      <top style="thin">
        <color indexed="64"/>
      </top>
      <bottom/>
      <diagonal/>
    </border>
    <border>
      <left/>
      <right/>
      <top style="thin">
        <color indexed="64"/>
      </top>
      <bottom/>
      <diagonal/>
    </border>
    <border>
      <left/>
      <right/>
      <top/>
      <bottom style="thin">
        <color rgb="FFFFFFFF"/>
      </bottom>
      <diagonal/>
    </border>
    <border>
      <left/>
      <right style="thin">
        <color indexed="64"/>
      </right>
      <top/>
      <bottom style="thin">
        <color indexed="64"/>
      </bottom>
      <diagonal/>
    </border>
    <border>
      <left/>
      <right/>
      <top/>
      <bottom style="thin">
        <color indexed="64"/>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right/>
      <top/>
      <bottom style="medium">
        <color rgb="FF000000"/>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000000"/>
      </right>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style="thin">
        <color rgb="FF000000"/>
      </bottom>
      <diagonal/>
    </border>
    <border>
      <left style="thin">
        <color rgb="FF000000"/>
      </left>
      <right style="thin">
        <color theme="0"/>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thin">
        <color theme="0"/>
      </right>
      <top style="thin">
        <color rgb="FF000000"/>
      </top>
      <bottom style="medium">
        <color indexed="64"/>
      </bottom>
      <diagonal/>
    </border>
    <border>
      <left/>
      <right/>
      <top/>
      <bottom style="thin">
        <color rgb="FF000000"/>
      </bottom>
      <diagonal/>
    </border>
    <border>
      <left/>
      <right style="thin">
        <color indexed="64"/>
      </right>
      <top style="thin">
        <color indexed="64"/>
      </top>
      <bottom style="thin">
        <color rgb="FF000000"/>
      </bottom>
      <diagonal/>
    </border>
    <border>
      <left style="thin">
        <color rgb="FF000000"/>
      </left>
      <right/>
      <top/>
      <bottom/>
      <diagonal/>
    </border>
    <border>
      <left/>
      <right style="thin">
        <color indexed="64"/>
      </right>
      <top/>
      <bottom/>
      <diagonal/>
    </border>
  </borders>
  <cellStyleXfs count="2">
    <xf numFmtId="0" fontId="0" fillId="0" borderId="0"/>
    <xf numFmtId="9" fontId="29" fillId="0" borderId="0" applyFont="0" applyFill="0" applyBorder="0" applyAlignment="0" applyProtection="0"/>
  </cellStyleXfs>
  <cellXfs count="212">
    <xf numFmtId="0" fontId="0" fillId="0" borderId="0" xfId="0"/>
    <xf numFmtId="0" fontId="0" fillId="0" borderId="1" xfId="0" applyBorder="1"/>
    <xf numFmtId="0" fontId="0" fillId="0" borderId="2" xfId="0" applyBorder="1"/>
    <xf numFmtId="0" fontId="0" fillId="0" borderId="3" xfId="0" applyBorder="1"/>
    <xf numFmtId="0" fontId="0" fillId="0" borderId="5" xfId="0" applyBorder="1"/>
    <xf numFmtId="0" fontId="0" fillId="0" borderId="8" xfId="0" applyBorder="1"/>
    <xf numFmtId="0" fontId="4" fillId="2" borderId="0" xfId="0" applyFont="1" applyFill="1" applyAlignment="1">
      <alignment horizontal="left" vertical="center"/>
    </xf>
    <xf numFmtId="0" fontId="5" fillId="2" borderId="0" xfId="0" applyFont="1" applyFill="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2" fillId="0" borderId="2" xfId="0" applyFont="1" applyBorder="1"/>
    <xf numFmtId="0" fontId="2" fillId="0" borderId="7" xfId="0" applyFont="1" applyBorder="1"/>
    <xf numFmtId="0" fontId="10" fillId="0" borderId="2" xfId="0" applyFont="1" applyBorder="1"/>
    <xf numFmtId="0" fontId="2" fillId="0" borderId="6" xfId="0" applyFont="1" applyBorder="1"/>
    <xf numFmtId="0" fontId="2" fillId="0" borderId="5" xfId="0" applyFont="1" applyBorder="1"/>
    <xf numFmtId="0" fontId="1" fillId="0" borderId="10" xfId="0" applyFont="1" applyBorder="1" applyAlignment="1">
      <alignment horizontal="center" vertical="center" wrapText="1"/>
    </xf>
    <xf numFmtId="0" fontId="1" fillId="0" borderId="9" xfId="0" applyFont="1" applyBorder="1" applyAlignment="1">
      <alignment horizontal="center" vertical="center" wrapText="1"/>
    </xf>
    <xf numFmtId="0" fontId="2" fillId="0" borderId="8" xfId="0" applyFont="1" applyBorder="1"/>
    <xf numFmtId="0" fontId="0" fillId="0" borderId="11" xfId="0" applyBorder="1"/>
    <xf numFmtId="0" fontId="9" fillId="0" borderId="2" xfId="0" applyFont="1" applyBorder="1"/>
    <xf numFmtId="0" fontId="1" fillId="0" borderId="0" xfId="0" applyFont="1"/>
    <xf numFmtId="14" fontId="0" fillId="3" borderId="0" xfId="0" applyNumberFormat="1" applyFill="1"/>
    <xf numFmtId="0" fontId="13" fillId="4" borderId="0" xfId="0" applyFont="1" applyFill="1"/>
    <xf numFmtId="2" fontId="13" fillId="4" borderId="0" xfId="0" applyNumberFormat="1" applyFont="1" applyFill="1"/>
    <xf numFmtId="0" fontId="0" fillId="3" borderId="0" xfId="0" applyFill="1"/>
    <xf numFmtId="0" fontId="0" fillId="0" borderId="12" xfId="0" applyBorder="1"/>
    <xf numFmtId="164" fontId="1" fillId="0" borderId="13" xfId="0" applyNumberFormat="1" applyFont="1" applyBorder="1"/>
    <xf numFmtId="0" fontId="1" fillId="0" borderId="14" xfId="0" applyFont="1" applyBorder="1"/>
    <xf numFmtId="164" fontId="0" fillId="4" borderId="0" xfId="0" applyNumberFormat="1" applyFill="1"/>
    <xf numFmtId="164" fontId="15" fillId="0" borderId="12" xfId="0" applyNumberFormat="1" applyFont="1" applyBorder="1"/>
    <xf numFmtId="0" fontId="12" fillId="0" borderId="0" xfId="0" applyFont="1"/>
    <xf numFmtId="0" fontId="1" fillId="0" borderId="12" xfId="0" applyFont="1" applyBorder="1"/>
    <xf numFmtId="0" fontId="3" fillId="0" borderId="19" xfId="0" applyFont="1" applyBorder="1"/>
    <xf numFmtId="0" fontId="14" fillId="0" borderId="0" xfId="0" applyFont="1"/>
    <xf numFmtId="0" fontId="0" fillId="2" borderId="3" xfId="0" applyFill="1" applyBorder="1"/>
    <xf numFmtId="0" fontId="0" fillId="2" borderId="1" xfId="0" applyFill="1" applyBorder="1"/>
    <xf numFmtId="0" fontId="1" fillId="0" borderId="22" xfId="0" applyFont="1" applyBorder="1"/>
    <xf numFmtId="0" fontId="0" fillId="2" borderId="2" xfId="0" applyFill="1" applyBorder="1"/>
    <xf numFmtId="0" fontId="3" fillId="2" borderId="0" xfId="0" applyFont="1" applyFill="1" applyAlignment="1">
      <alignment vertical="center"/>
    </xf>
    <xf numFmtId="0" fontId="0" fillId="2" borderId="0" xfId="0" applyFill="1"/>
    <xf numFmtId="0" fontId="1" fillId="2" borderId="0" xfId="0" applyFont="1" applyFill="1"/>
    <xf numFmtId="0" fontId="0" fillId="2" borderId="20" xfId="0" applyFill="1" applyBorder="1"/>
    <xf numFmtId="0" fontId="0" fillId="2" borderId="23" xfId="0" applyFill="1" applyBorder="1" applyAlignment="1">
      <alignment vertical="center" wrapText="1"/>
    </xf>
    <xf numFmtId="0" fontId="0" fillId="2" borderId="8" xfId="0" applyFill="1" applyBorder="1"/>
    <xf numFmtId="0" fontId="0" fillId="2" borderId="18" xfId="0" applyFill="1" applyBorder="1" applyAlignment="1">
      <alignment vertical="center" wrapText="1"/>
    </xf>
    <xf numFmtId="0" fontId="17" fillId="2" borderId="0" xfId="0" applyFont="1" applyFill="1"/>
    <xf numFmtId="0" fontId="16" fillId="2" borderId="21" xfId="0" applyFont="1" applyFill="1" applyBorder="1"/>
    <xf numFmtId="0" fontId="11" fillId="2" borderId="0" xfId="0" applyFont="1" applyFill="1"/>
    <xf numFmtId="0" fontId="16" fillId="2" borderId="24" xfId="0" applyFont="1" applyFill="1" applyBorder="1"/>
    <xf numFmtId="0" fontId="11" fillId="2" borderId="0" xfId="0" applyFont="1" applyFill="1" applyAlignment="1">
      <alignment vertical="center"/>
    </xf>
    <xf numFmtId="0" fontId="11" fillId="2" borderId="0" xfId="0" applyFont="1" applyFill="1" applyAlignment="1">
      <alignment vertical="center" wrapText="1"/>
    </xf>
    <xf numFmtId="0" fontId="18" fillId="0" borderId="14" xfId="0" applyFont="1" applyBorder="1"/>
    <xf numFmtId="0" fontId="0" fillId="0" borderId="3" xfId="0" applyBorder="1" applyAlignment="1">
      <alignment horizontal="center"/>
    </xf>
    <xf numFmtId="0" fontId="0" fillId="0" borderId="2" xfId="0" applyBorder="1" applyAlignment="1">
      <alignment horizontal="center"/>
    </xf>
    <xf numFmtId="0" fontId="0" fillId="2" borderId="3" xfId="0" applyFill="1" applyBorder="1" applyAlignment="1">
      <alignment horizontal="center" wrapText="1"/>
    </xf>
    <xf numFmtId="0" fontId="0" fillId="2" borderId="2" xfId="0" applyFill="1" applyBorder="1" applyAlignment="1">
      <alignment horizontal="center" wrapText="1"/>
    </xf>
    <xf numFmtId="0" fontId="19" fillId="0" borderId="0" xfId="0" applyFont="1"/>
    <xf numFmtId="0" fontId="1" fillId="0" borderId="25" xfId="0" applyFont="1" applyBorder="1" applyAlignment="1">
      <alignment horizontal="center" vertical="center" wrapText="1"/>
    </xf>
    <xf numFmtId="0" fontId="0" fillId="0" borderId="25" xfId="0" applyBorder="1"/>
    <xf numFmtId="0" fontId="3" fillId="0" borderId="25" xfId="0" applyFont="1" applyBorder="1" applyAlignment="1">
      <alignment vertical="center"/>
    </xf>
    <xf numFmtId="0" fontId="1" fillId="0" borderId="25" xfId="0" applyFont="1" applyBorder="1"/>
    <xf numFmtId="0" fontId="15" fillId="0" borderId="0" xfId="0" applyFont="1" applyAlignment="1">
      <alignment vertical="center" wrapText="1"/>
    </xf>
    <xf numFmtId="0" fontId="22" fillId="0" borderId="29" xfId="0" applyFont="1" applyBorder="1"/>
    <xf numFmtId="0" fontId="22" fillId="0" borderId="22" xfId="0" applyFont="1" applyBorder="1"/>
    <xf numFmtId="0" fontId="3" fillId="0" borderId="25" xfId="0" applyFont="1" applyBorder="1" applyAlignment="1">
      <alignment horizontal="center" vertical="center" wrapText="1"/>
    </xf>
    <xf numFmtId="0" fontId="0" fillId="2" borderId="6" xfId="0" applyFill="1" applyBorder="1" applyAlignment="1">
      <alignment horizontal="center" wrapText="1"/>
    </xf>
    <xf numFmtId="0" fontId="23" fillId="0" borderId="31" xfId="0" applyFont="1" applyBorder="1" applyAlignment="1">
      <alignment vertical="center"/>
    </xf>
    <xf numFmtId="0" fontId="0" fillId="0" borderId="31" xfId="0" applyBorder="1"/>
    <xf numFmtId="0" fontId="16" fillId="0" borderId="0" xfId="0" applyFont="1" applyAlignment="1">
      <alignment horizontal="center" vertical="center" wrapText="1"/>
    </xf>
    <xf numFmtId="0" fontId="11" fillId="0" borderId="0" xfId="0" applyFont="1"/>
    <xf numFmtId="0" fontId="11" fillId="0" borderId="34" xfId="0" applyFont="1" applyBorder="1"/>
    <xf numFmtId="0" fontId="11" fillId="0" borderId="38" xfId="0" applyFont="1" applyBorder="1"/>
    <xf numFmtId="0" fontId="16" fillId="0" borderId="32" xfId="0" applyFont="1" applyBorder="1"/>
    <xf numFmtId="0" fontId="11" fillId="0" borderId="35" xfId="0" applyFont="1" applyBorder="1"/>
    <xf numFmtId="0" fontId="16" fillId="0" borderId="33" xfId="0" applyFont="1" applyBorder="1"/>
    <xf numFmtId="0" fontId="11" fillId="0" borderId="36" xfId="0" applyFont="1" applyBorder="1"/>
    <xf numFmtId="0" fontId="16" fillId="0" borderId="39" xfId="0" applyFont="1" applyBorder="1"/>
    <xf numFmtId="0" fontId="11" fillId="0" borderId="37" xfId="0" applyFont="1" applyBorder="1"/>
    <xf numFmtId="0" fontId="0" fillId="0" borderId="22" xfId="0" applyBorder="1"/>
    <xf numFmtId="0" fontId="25" fillId="0" borderId="25" xfId="0" applyFont="1" applyBorder="1" applyAlignment="1">
      <alignment horizontal="left" vertical="center" wrapText="1"/>
    </xf>
    <xf numFmtId="0" fontId="11" fillId="0" borderId="40" xfId="0" applyFont="1" applyBorder="1"/>
    <xf numFmtId="14" fontId="0" fillId="0" borderId="25" xfId="0" applyNumberFormat="1" applyBorder="1"/>
    <xf numFmtId="0" fontId="25" fillId="0" borderId="40" xfId="0" applyFont="1" applyBorder="1" applyAlignment="1">
      <alignment horizontal="left" vertical="center" wrapText="1"/>
    </xf>
    <xf numFmtId="0" fontId="25" fillId="0" borderId="17" xfId="0" applyFont="1" applyBorder="1" applyAlignment="1">
      <alignment horizontal="left" vertical="center" wrapText="1"/>
    </xf>
    <xf numFmtId="9" fontId="11" fillId="0" borderId="40" xfId="0" applyNumberFormat="1" applyFont="1" applyBorder="1"/>
    <xf numFmtId="0" fontId="12" fillId="0" borderId="40" xfId="0" applyFont="1" applyBorder="1"/>
    <xf numFmtId="0" fontId="0" fillId="2" borderId="0" xfId="0" applyFill="1" applyAlignment="1">
      <alignment wrapText="1"/>
    </xf>
    <xf numFmtId="0" fontId="0" fillId="2" borderId="8" xfId="0" applyFill="1" applyBorder="1" applyAlignment="1">
      <alignment wrapText="1"/>
    </xf>
    <xf numFmtId="0" fontId="26" fillId="2" borderId="0" xfId="0" applyFont="1" applyFill="1" applyAlignment="1">
      <alignment wrapText="1"/>
    </xf>
    <xf numFmtId="0" fontId="1" fillId="2" borderId="0" xfId="0" applyFont="1" applyFill="1" applyAlignment="1">
      <alignment wrapText="1"/>
    </xf>
    <xf numFmtId="0" fontId="28" fillId="0" borderId="40" xfId="0" applyFont="1" applyBorder="1" applyAlignment="1">
      <alignment horizontal="left" vertical="center" wrapText="1"/>
    </xf>
    <xf numFmtId="0" fontId="16" fillId="0" borderId="42" xfId="0" applyFont="1" applyBorder="1" applyAlignment="1">
      <alignment horizontal="center" vertical="center" wrapText="1"/>
    </xf>
    <xf numFmtId="0" fontId="16" fillId="0" borderId="43" xfId="0" applyFont="1" applyBorder="1" applyAlignment="1">
      <alignment horizontal="center" vertical="center" wrapText="1"/>
    </xf>
    <xf numFmtId="0" fontId="16" fillId="0" borderId="44" xfId="0" applyFont="1" applyBorder="1" applyAlignment="1">
      <alignment horizontal="center" vertical="center" wrapText="1"/>
    </xf>
    <xf numFmtId="0" fontId="11" fillId="0" borderId="0" xfId="0" applyFont="1" applyAlignment="1">
      <alignment horizontal="center"/>
    </xf>
    <xf numFmtId="0" fontId="27" fillId="0" borderId="43" xfId="0" applyFont="1" applyBorder="1" applyAlignment="1">
      <alignment horizontal="center" vertical="center" wrapText="1"/>
    </xf>
    <xf numFmtId="0" fontId="16" fillId="0" borderId="45" xfId="0" applyFont="1" applyBorder="1"/>
    <xf numFmtId="0" fontId="16" fillId="0" borderId="46" xfId="0" applyFont="1" applyBorder="1"/>
    <xf numFmtId="0" fontId="16" fillId="0" borderId="47" xfId="0" applyFont="1" applyBorder="1"/>
    <xf numFmtId="0" fontId="16" fillId="0" borderId="35" xfId="0" applyFont="1" applyBorder="1"/>
    <xf numFmtId="0" fontId="11" fillId="0" borderId="32" xfId="0" applyFont="1" applyBorder="1"/>
    <xf numFmtId="0" fontId="11" fillId="0" borderId="33" xfId="0" applyFont="1" applyBorder="1"/>
    <xf numFmtId="0" fontId="11" fillId="0" borderId="39" xfId="0" applyFont="1" applyBorder="1"/>
    <xf numFmtId="0" fontId="16" fillId="0" borderId="0" xfId="0" applyFont="1" applyAlignment="1">
      <alignment horizontal="center"/>
    </xf>
    <xf numFmtId="0" fontId="16" fillId="0" borderId="0" xfId="0" applyFont="1" applyAlignment="1">
      <alignment horizontal="center" vertical="center"/>
    </xf>
    <xf numFmtId="0" fontId="11" fillId="0" borderId="48" xfId="0" applyFont="1" applyBorder="1" applyAlignment="1">
      <alignment horizontal="right"/>
    </xf>
    <xf numFmtId="0" fontId="25" fillId="0" borderId="22" xfId="0" applyFont="1" applyBorder="1"/>
    <xf numFmtId="0" fontId="11" fillId="0" borderId="50" xfId="0" applyFont="1" applyBorder="1"/>
    <xf numFmtId="9" fontId="16" fillId="0" borderId="49" xfId="0" applyNumberFormat="1" applyFont="1" applyBorder="1"/>
    <xf numFmtId="0" fontId="16" fillId="0" borderId="40" xfId="0" applyFont="1" applyBorder="1"/>
    <xf numFmtId="9" fontId="16" fillId="0" borderId="40" xfId="0" applyNumberFormat="1" applyFont="1" applyBorder="1"/>
    <xf numFmtId="9" fontId="0" fillId="0" borderId="40" xfId="1" applyFont="1" applyBorder="1"/>
    <xf numFmtId="9" fontId="0" fillId="0" borderId="50" xfId="1" applyFont="1" applyBorder="1"/>
    <xf numFmtId="9" fontId="1" fillId="0" borderId="25" xfId="1" applyFont="1" applyBorder="1"/>
    <xf numFmtId="0" fontId="28" fillId="0" borderId="40" xfId="0" applyFont="1" applyBorder="1" applyAlignment="1">
      <alignment horizontal="right" vertical="center" wrapText="1"/>
    </xf>
    <xf numFmtId="0" fontId="11" fillId="0" borderId="0" xfId="0" applyFont="1" applyAlignment="1">
      <alignment horizontal="right"/>
    </xf>
    <xf numFmtId="0" fontId="16" fillId="0" borderId="0" xfId="0" applyFont="1" applyAlignment="1">
      <alignment horizontal="right"/>
    </xf>
    <xf numFmtId="0" fontId="16" fillId="0" borderId="0" xfId="0" applyFont="1"/>
    <xf numFmtId="0" fontId="11" fillId="0" borderId="51" xfId="0" applyFont="1" applyBorder="1"/>
    <xf numFmtId="0" fontId="11" fillId="0" borderId="52" xfId="0" applyFont="1" applyBorder="1"/>
    <xf numFmtId="0" fontId="11" fillId="0" borderId="53" xfId="0" applyFont="1" applyBorder="1"/>
    <xf numFmtId="0" fontId="11" fillId="0" borderId="54" xfId="0" applyFont="1" applyBorder="1"/>
    <xf numFmtId="0" fontId="11" fillId="0" borderId="55" xfId="0" applyFont="1" applyBorder="1"/>
    <xf numFmtId="0" fontId="0" fillId="0" borderId="55" xfId="0" applyBorder="1"/>
    <xf numFmtId="0" fontId="11" fillId="0" borderId="56" xfId="0" applyFont="1" applyBorder="1"/>
    <xf numFmtId="0" fontId="11" fillId="0" borderId="57" xfId="0" applyFont="1" applyBorder="1"/>
    <xf numFmtId="0" fontId="11" fillId="0" borderId="58" xfId="0" applyFont="1" applyBorder="1"/>
    <xf numFmtId="0" fontId="28" fillId="5" borderId="0" xfId="0" applyFont="1" applyFill="1"/>
    <xf numFmtId="0" fontId="0" fillId="2" borderId="1" xfId="0" applyFill="1" applyBorder="1" applyAlignment="1">
      <alignment vertical="center" wrapText="1"/>
    </xf>
    <xf numFmtId="0" fontId="1" fillId="0" borderId="60" xfId="0" applyFont="1" applyBorder="1"/>
    <xf numFmtId="0" fontId="1" fillId="0" borderId="61" xfId="0" applyFont="1" applyBorder="1"/>
    <xf numFmtId="0" fontId="1" fillId="0" borderId="62" xfId="0" applyFont="1" applyBorder="1"/>
    <xf numFmtId="0" fontId="0" fillId="0" borderId="40" xfId="0" applyBorder="1"/>
    <xf numFmtId="0" fontId="0" fillId="0" borderId="63" xfId="0" applyBorder="1"/>
    <xf numFmtId="0" fontId="1" fillId="0" borderId="64" xfId="0" applyFont="1" applyBorder="1"/>
    <xf numFmtId="0" fontId="1" fillId="0" borderId="65" xfId="0" applyFont="1" applyBorder="1"/>
    <xf numFmtId="0" fontId="0" fillId="0" borderId="24" xfId="0" applyBorder="1"/>
    <xf numFmtId="0" fontId="0" fillId="0" borderId="59" xfId="0" applyBorder="1"/>
    <xf numFmtId="2" fontId="0" fillId="0" borderId="25" xfId="0" applyNumberFormat="1" applyBorder="1" applyAlignment="1">
      <alignment vertical="center" wrapText="1"/>
    </xf>
    <xf numFmtId="2" fontId="30" fillId="0" borderId="40" xfId="0" applyNumberFormat="1" applyFont="1" applyBorder="1" applyAlignment="1">
      <alignment wrapText="1"/>
    </xf>
    <xf numFmtId="0" fontId="30" fillId="0" borderId="40" xfId="0" applyFont="1" applyBorder="1" applyAlignment="1">
      <alignment wrapText="1"/>
    </xf>
    <xf numFmtId="2" fontId="0" fillId="0" borderId="66" xfId="0" applyNumberFormat="1" applyBorder="1"/>
    <xf numFmtId="0" fontId="1" fillId="0" borderId="67" xfId="0" applyFont="1" applyBorder="1"/>
    <xf numFmtId="0" fontId="0" fillId="0" borderId="3" xfId="0" applyBorder="1" applyAlignment="1">
      <alignment horizontal="center" wrapText="1"/>
    </xf>
    <xf numFmtId="0" fontId="0" fillId="0" borderId="2" xfId="0" applyBorder="1" applyAlignment="1">
      <alignment horizontal="center" wrapText="1"/>
    </xf>
    <xf numFmtId="0" fontId="0" fillId="0" borderId="68" xfId="0" applyBorder="1" applyAlignment="1">
      <alignment horizontal="left" vertical="center" wrapText="1"/>
    </xf>
    <xf numFmtId="0" fontId="0" fillId="0" borderId="25" xfId="0" applyBorder="1" applyAlignment="1">
      <alignment vertical="center" wrapText="1"/>
    </xf>
    <xf numFmtId="0" fontId="0" fillId="6" borderId="0" xfId="0" applyFill="1" applyAlignment="1">
      <alignment wrapText="1"/>
    </xf>
    <xf numFmtId="0" fontId="0" fillId="6" borderId="8" xfId="0" applyFill="1" applyBorder="1" applyAlignment="1">
      <alignment wrapText="1"/>
    </xf>
    <xf numFmtId="0" fontId="25" fillId="0" borderId="69" xfId="0" applyFont="1" applyBorder="1"/>
    <xf numFmtId="0" fontId="0" fillId="6" borderId="8" xfId="0" applyFill="1" applyBorder="1"/>
    <xf numFmtId="14" fontId="31" fillId="0" borderId="25" xfId="0" applyNumberFormat="1" applyFont="1" applyBorder="1" applyAlignment="1">
      <alignment vertical="center" wrapText="1"/>
    </xf>
    <xf numFmtId="14" fontId="32" fillId="0" borderId="22" xfId="0" applyNumberFormat="1" applyFont="1" applyBorder="1"/>
    <xf numFmtId="14" fontId="32" fillId="0" borderId="30" xfId="0" applyNumberFormat="1" applyFont="1" applyBorder="1"/>
    <xf numFmtId="14" fontId="31" fillId="0" borderId="25" xfId="0" applyNumberFormat="1" applyFont="1" applyBorder="1"/>
    <xf numFmtId="0" fontId="22" fillId="0" borderId="0" xfId="0" applyFont="1"/>
    <xf numFmtId="0" fontId="0" fillId="0" borderId="0" xfId="0" applyAlignment="1">
      <alignment horizontal="center" wrapText="1"/>
    </xf>
    <xf numFmtId="0" fontId="0" fillId="0" borderId="1" xfId="0" applyBorder="1" applyAlignment="1">
      <alignment horizontal="center" wrapText="1"/>
    </xf>
    <xf numFmtId="0" fontId="21" fillId="0" borderId="0" xfId="0" applyFont="1" applyAlignment="1">
      <alignment horizontal="left" wrapText="1"/>
    </xf>
    <xf numFmtId="0" fontId="21" fillId="0" borderId="1" xfId="0" applyFont="1" applyBorder="1" applyAlignment="1">
      <alignment horizontal="left" wrapText="1"/>
    </xf>
    <xf numFmtId="0" fontId="0" fillId="0" borderId="6" xfId="0" applyBorder="1" applyAlignment="1">
      <alignment horizontal="center" wrapText="1"/>
    </xf>
    <xf numFmtId="0" fontId="0" fillId="0" borderId="4" xfId="0" applyBorder="1" applyAlignment="1">
      <alignment horizontal="center" wrapText="1"/>
    </xf>
    <xf numFmtId="0" fontId="0" fillId="0" borderId="5" xfId="0" applyBorder="1" applyAlignment="1">
      <alignment horizontal="center" wrapText="1"/>
    </xf>
    <xf numFmtId="0" fontId="0" fillId="0" borderId="7" xfId="0" applyBorder="1" applyAlignment="1">
      <alignment horizontal="center" wrapText="1"/>
    </xf>
    <xf numFmtId="0" fontId="0" fillId="0" borderId="11" xfId="0" applyBorder="1" applyAlignment="1">
      <alignment horizontal="center" wrapText="1"/>
    </xf>
    <xf numFmtId="0" fontId="0" fillId="0" borderId="26" xfId="0" applyBorder="1" applyAlignment="1">
      <alignment horizontal="center" wrapText="1"/>
    </xf>
    <xf numFmtId="0" fontId="0" fillId="0" borderId="6"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20" fillId="0" borderId="27" xfId="0" applyFont="1" applyBorder="1" applyAlignment="1">
      <alignment horizontal="left" wrapText="1"/>
    </xf>
    <xf numFmtId="0" fontId="20" fillId="0" borderId="28" xfId="0" applyFont="1" applyBorder="1" applyAlignment="1">
      <alignment horizontal="left" wrapText="1"/>
    </xf>
    <xf numFmtId="0" fontId="20" fillId="0" borderId="1" xfId="0" applyFont="1" applyBorder="1" applyAlignment="1">
      <alignment horizontal="left" wrapText="1"/>
    </xf>
    <xf numFmtId="0" fontId="0" fillId="0" borderId="23" xfId="0" applyBorder="1" applyAlignment="1">
      <alignment horizontal="left" wrapText="1"/>
    </xf>
    <xf numFmtId="0" fontId="0" fillId="0" borderId="0" xfId="0" applyAlignment="1">
      <alignment horizontal="left" wrapText="1"/>
    </xf>
    <xf numFmtId="0" fontId="0" fillId="0" borderId="1" xfId="0" applyBorder="1" applyAlignment="1">
      <alignment horizontal="left" wrapText="1"/>
    </xf>
    <xf numFmtId="0" fontId="15" fillId="0" borderId="0" xfId="0" applyFont="1" applyAlignment="1">
      <alignment horizontal="center" vertical="center" wrapText="1"/>
    </xf>
    <xf numFmtId="0" fontId="0" fillId="2" borderId="6" xfId="0" applyFill="1" applyBorder="1" applyAlignment="1">
      <alignment horizontal="center" wrapText="1"/>
    </xf>
    <xf numFmtId="0" fontId="0" fillId="2" borderId="4" xfId="0" applyFill="1" applyBorder="1" applyAlignment="1">
      <alignment horizontal="center" wrapText="1"/>
    </xf>
    <xf numFmtId="0" fontId="0" fillId="2" borderId="5" xfId="0" applyFill="1" applyBorder="1" applyAlignment="1">
      <alignment horizontal="center" wrapText="1"/>
    </xf>
    <xf numFmtId="0" fontId="0" fillId="0" borderId="25" xfId="0" applyBorder="1"/>
    <xf numFmtId="0" fontId="3" fillId="0" borderId="25" xfId="0" applyFont="1" applyBorder="1" applyAlignment="1">
      <alignment vertical="center" wrapText="1"/>
    </xf>
    <xf numFmtId="0" fontId="22" fillId="0" borderId="12" xfId="0" applyFont="1" applyBorder="1" applyAlignment="1">
      <alignment wrapText="1"/>
    </xf>
    <xf numFmtId="0" fontId="22" fillId="0" borderId="22" xfId="0" applyFont="1" applyBorder="1" applyAlignment="1">
      <alignment wrapText="1"/>
    </xf>
    <xf numFmtId="0" fontId="22" fillId="0" borderId="19" xfId="0" applyFont="1" applyBorder="1" applyAlignment="1">
      <alignment wrapText="1"/>
    </xf>
    <xf numFmtId="0" fontId="0" fillId="0" borderId="19" xfId="0" applyBorder="1"/>
    <xf numFmtId="0" fontId="0" fillId="0" borderId="22" xfId="0" applyBorder="1"/>
    <xf numFmtId="0" fontId="0" fillId="0" borderId="0" xfId="0"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1" fillId="0" borderId="12" xfId="0" applyFont="1" applyBorder="1" applyAlignment="1">
      <alignment horizontal="center"/>
    </xf>
    <xf numFmtId="0" fontId="16" fillId="0" borderId="39" xfId="0" applyFont="1" applyBorder="1" applyAlignment="1">
      <alignment horizontal="center"/>
    </xf>
    <xf numFmtId="0" fontId="16" fillId="0" borderId="37" xfId="0" applyFont="1" applyBorder="1" applyAlignment="1">
      <alignment horizontal="center"/>
    </xf>
    <xf numFmtId="0" fontId="16" fillId="0" borderId="32" xfId="0" applyFont="1" applyBorder="1" applyAlignment="1">
      <alignment horizontal="center"/>
    </xf>
    <xf numFmtId="0" fontId="16" fillId="0" borderId="35" xfId="0" applyFont="1" applyBorder="1" applyAlignment="1">
      <alignment horizontal="center"/>
    </xf>
    <xf numFmtId="0" fontId="16" fillId="0" borderId="33" xfId="0" applyFont="1" applyBorder="1" applyAlignment="1">
      <alignment horizontal="center"/>
    </xf>
    <xf numFmtId="0" fontId="16" fillId="0" borderId="36" xfId="0" applyFont="1" applyBorder="1" applyAlignment="1">
      <alignment horizontal="center"/>
    </xf>
    <xf numFmtId="0" fontId="16" fillId="0" borderId="0" xfId="0" applyFont="1" applyAlignment="1">
      <alignment horizontal="center" vertical="center" textRotation="90" wrapText="1"/>
    </xf>
    <xf numFmtId="0" fontId="16" fillId="0" borderId="38" xfId="0" applyFont="1" applyBorder="1" applyAlignment="1">
      <alignment horizontal="center" vertical="center" textRotation="90" wrapText="1"/>
    </xf>
    <xf numFmtId="0" fontId="16" fillId="0" borderId="32" xfId="0" applyFont="1" applyBorder="1" applyAlignment="1">
      <alignment horizontal="center" vertical="center" textRotation="90"/>
    </xf>
    <xf numFmtId="0" fontId="16" fillId="0" borderId="33" xfId="0" applyFont="1" applyBorder="1" applyAlignment="1">
      <alignment horizontal="center" vertical="center" textRotation="90"/>
    </xf>
    <xf numFmtId="0" fontId="16" fillId="0" borderId="39" xfId="0" applyFont="1" applyBorder="1" applyAlignment="1">
      <alignment horizontal="center" vertical="center" textRotation="90"/>
    </xf>
    <xf numFmtId="0" fontId="16" fillId="0" borderId="34" xfId="0" applyFont="1" applyBorder="1" applyAlignment="1">
      <alignment horizontal="center" vertical="center" textRotation="90" wrapText="1"/>
    </xf>
    <xf numFmtId="0" fontId="16" fillId="0" borderId="41" xfId="0" applyFont="1" applyBorder="1" applyAlignment="1">
      <alignment horizontal="center" vertical="center" textRotation="90" wrapText="1"/>
    </xf>
    <xf numFmtId="0" fontId="9" fillId="0" borderId="6" xfId="0" applyFont="1" applyBorder="1" applyAlignment="1">
      <alignment horizontal="left" vertical="center" wrapText="1"/>
    </xf>
    <xf numFmtId="0" fontId="9" fillId="0" borderId="4" xfId="0" applyFont="1" applyBorder="1" applyAlignment="1">
      <alignment horizontal="left" vertical="center" wrapText="1"/>
    </xf>
    <xf numFmtId="0" fontId="9" fillId="0" borderId="5" xfId="0" applyFont="1" applyBorder="1" applyAlignment="1">
      <alignment horizontal="left" vertical="center" wrapText="1"/>
    </xf>
    <xf numFmtId="0" fontId="0" fillId="0" borderId="0" xfId="0" applyAlignment="1">
      <alignment horizontal="center"/>
    </xf>
    <xf numFmtId="0" fontId="0" fillId="0" borderId="19" xfId="0" applyBorder="1" applyAlignment="1">
      <alignment horizontal="center"/>
    </xf>
    <xf numFmtId="0" fontId="0" fillId="0" borderId="22" xfId="0" applyBorder="1" applyAlignment="1">
      <alignment horizontal="center"/>
    </xf>
    <xf numFmtId="0" fontId="0" fillId="0" borderId="19" xfId="0" applyBorder="1" applyAlignment="1">
      <alignment horizontal="left"/>
    </xf>
    <xf numFmtId="0" fontId="0" fillId="0" borderId="22" xfId="0" applyBorder="1" applyAlignment="1">
      <alignment horizontal="left"/>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247650</xdr:colOff>
      <xdr:row>0</xdr:row>
      <xdr:rowOff>180975</xdr:rowOff>
    </xdr:from>
    <xdr:to>
      <xdr:col>17</xdr:col>
      <xdr:colOff>295275</xdr:colOff>
      <xdr:row>5</xdr:row>
      <xdr:rowOff>150110</xdr:rowOff>
    </xdr:to>
    <xdr:pic>
      <xdr:nvPicPr>
        <xdr:cNvPr id="2" name="Picture 1">
          <a:extLst>
            <a:ext uri="{FF2B5EF4-FFF2-40B4-BE49-F238E27FC236}">
              <a16:creationId xmlns:a16="http://schemas.microsoft.com/office/drawing/2014/main" id="{399A0F34-EE0E-4F38-BA62-ABD29E3B23B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391650" y="180975"/>
          <a:ext cx="1266825" cy="1264535"/>
        </a:xfrm>
        <a:prstGeom prst="rect">
          <a:avLst/>
        </a:prstGeom>
      </xdr:spPr>
    </xdr:pic>
    <xdr:clientData/>
  </xdr:twoCellAnchor>
  <xdr:twoCellAnchor editAs="oneCell">
    <xdr:from>
      <xdr:col>1</xdr:col>
      <xdr:colOff>419100</xdr:colOff>
      <xdr:row>24</xdr:row>
      <xdr:rowOff>38100</xdr:rowOff>
    </xdr:from>
    <xdr:to>
      <xdr:col>17</xdr:col>
      <xdr:colOff>55688</xdr:colOff>
      <xdr:row>32</xdr:row>
      <xdr:rowOff>123624</xdr:rowOff>
    </xdr:to>
    <xdr:pic>
      <xdr:nvPicPr>
        <xdr:cNvPr id="3" name="Picture 2">
          <a:extLst>
            <a:ext uri="{FF2B5EF4-FFF2-40B4-BE49-F238E27FC236}">
              <a16:creationId xmlns:a16="http://schemas.microsoft.com/office/drawing/2014/main" id="{17E7B9B3-DFBF-497E-A996-26D7DA4EAA40}"/>
            </a:ext>
          </a:extLst>
        </xdr:cNvPr>
        <xdr:cNvPicPr>
          <a:picLocks noChangeAspect="1"/>
        </xdr:cNvPicPr>
      </xdr:nvPicPr>
      <xdr:blipFill>
        <a:blip xmlns:r="http://schemas.openxmlformats.org/officeDocument/2006/relationships" r:embed="rId2"/>
        <a:stretch>
          <a:fillRect/>
        </a:stretch>
      </xdr:blipFill>
      <xdr:spPr>
        <a:xfrm>
          <a:off x="1028700" y="4953000"/>
          <a:ext cx="11695238" cy="160952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318"/>
  <sheetViews>
    <sheetView showGridLines="0" tabSelected="1" topLeftCell="A34" zoomScale="115" zoomScaleNormal="115" workbookViewId="0">
      <selection activeCell="M63" sqref="M63"/>
    </sheetView>
  </sheetViews>
  <sheetFormatPr defaultRowHeight="15" x14ac:dyDescent="0.25"/>
  <cols>
    <col min="1" max="1" width="11.7109375" customWidth="1"/>
    <col min="2" max="2" width="54.7109375" customWidth="1"/>
    <col min="3" max="3" width="24.28515625" customWidth="1"/>
    <col min="4" max="4" width="15" customWidth="1"/>
    <col min="5" max="5" width="10" customWidth="1"/>
    <col min="6" max="6" width="20" customWidth="1"/>
    <col min="7" max="7" width="11.28515625" customWidth="1"/>
    <col min="8" max="8" width="22" customWidth="1"/>
    <col min="14" max="14" width="4.28515625" customWidth="1"/>
  </cols>
  <sheetData>
    <row r="1" spans="1:42" ht="7.5" customHeight="1" x14ac:dyDescent="0.25">
      <c r="A1" s="2"/>
      <c r="F1" s="1"/>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60" customHeight="1" x14ac:dyDescent="0.4">
      <c r="A2" s="6"/>
      <c r="B2" s="56" t="s">
        <v>0</v>
      </c>
      <c r="F2" s="1"/>
      <c r="G2" s="2"/>
      <c r="H2" s="2"/>
      <c r="I2" s="2"/>
      <c r="J2" s="176"/>
      <c r="K2" s="177"/>
      <c r="L2" s="177"/>
      <c r="M2" s="177"/>
      <c r="N2" s="177"/>
      <c r="O2" s="178"/>
      <c r="P2" s="37"/>
      <c r="Q2" s="37"/>
      <c r="R2" s="2"/>
      <c r="S2" s="2"/>
      <c r="T2" s="2"/>
      <c r="U2" s="2"/>
      <c r="V2" s="2"/>
      <c r="W2" s="2"/>
      <c r="X2" s="2"/>
      <c r="Y2" s="2"/>
      <c r="Z2" s="2"/>
      <c r="AA2" s="2"/>
      <c r="AB2" s="2"/>
      <c r="AC2" s="2"/>
      <c r="AD2" s="2"/>
      <c r="AE2" s="2"/>
      <c r="AF2" s="2"/>
      <c r="AG2" s="2"/>
      <c r="AH2" s="2"/>
      <c r="AI2" s="2"/>
      <c r="AJ2" s="2"/>
      <c r="AK2" s="2"/>
      <c r="AL2" s="2"/>
      <c r="AM2" s="2"/>
      <c r="AN2" s="2"/>
      <c r="AO2" s="2"/>
      <c r="AP2" s="2"/>
    </row>
    <row r="3" spans="1:42" ht="220.5" customHeight="1" x14ac:dyDescent="0.25">
      <c r="A3" s="6"/>
      <c r="B3" s="158" t="s">
        <v>1</v>
      </c>
      <c r="C3" s="158"/>
      <c r="D3" s="158"/>
      <c r="E3" s="158"/>
      <c r="F3" s="158"/>
      <c r="G3" s="159"/>
      <c r="H3" s="1"/>
      <c r="I3" s="2"/>
      <c r="J3" s="54"/>
      <c r="K3" s="54"/>
      <c r="L3" s="65"/>
      <c r="M3" s="54"/>
      <c r="N3" s="54"/>
      <c r="O3" s="55"/>
      <c r="P3" s="37"/>
      <c r="Q3" s="37"/>
      <c r="R3" s="2"/>
      <c r="S3" s="2"/>
      <c r="T3" s="2"/>
      <c r="U3" s="2"/>
      <c r="V3" s="2"/>
      <c r="W3" s="2"/>
      <c r="X3" s="2"/>
      <c r="Y3" s="2"/>
      <c r="Z3" s="2"/>
      <c r="AA3" s="2"/>
      <c r="AB3" s="2"/>
      <c r="AC3" s="2"/>
      <c r="AD3" s="2"/>
      <c r="AE3" s="2"/>
      <c r="AF3" s="2"/>
      <c r="AG3" s="2"/>
      <c r="AH3" s="2"/>
      <c r="AI3" s="2"/>
      <c r="AJ3" s="2"/>
      <c r="AK3" s="2"/>
      <c r="AL3" s="2"/>
      <c r="AM3" s="2"/>
      <c r="AN3" s="2"/>
      <c r="AO3" s="2"/>
      <c r="AP3" s="2"/>
    </row>
    <row r="4" spans="1:42" ht="60" customHeight="1" x14ac:dyDescent="0.25">
      <c r="A4" s="6"/>
      <c r="B4" s="66" t="s">
        <v>261</v>
      </c>
      <c r="C4" s="67"/>
      <c r="I4" s="2"/>
      <c r="J4" s="54"/>
      <c r="K4" s="54"/>
      <c r="L4" s="54"/>
      <c r="M4" s="54"/>
      <c r="N4" s="54"/>
      <c r="O4" s="55"/>
      <c r="P4" s="37"/>
      <c r="Q4" s="37"/>
      <c r="R4" s="2"/>
      <c r="S4" s="2"/>
      <c r="T4" s="2"/>
      <c r="U4" s="2"/>
      <c r="V4" s="2"/>
      <c r="W4" s="2"/>
      <c r="X4" s="2"/>
      <c r="Y4" s="2"/>
      <c r="Z4" s="2"/>
      <c r="AA4" s="2"/>
      <c r="AB4" s="2"/>
      <c r="AC4" s="2"/>
      <c r="AD4" s="2"/>
      <c r="AE4" s="2"/>
      <c r="AF4" s="2"/>
      <c r="AG4" s="2"/>
      <c r="AH4" s="2"/>
      <c r="AI4" s="2"/>
      <c r="AJ4" s="2"/>
      <c r="AK4" s="2"/>
      <c r="AL4" s="2"/>
      <c r="AM4" s="2"/>
      <c r="AN4" s="2"/>
      <c r="AO4" s="2"/>
      <c r="AP4" s="2"/>
    </row>
    <row r="5" spans="1:42" ht="124.5" customHeight="1" x14ac:dyDescent="0.25">
      <c r="A5" s="3"/>
      <c r="B5" s="57" t="s">
        <v>2</v>
      </c>
      <c r="C5" s="57" t="s">
        <v>3</v>
      </c>
      <c r="D5" s="57" t="s">
        <v>4</v>
      </c>
      <c r="E5" s="57" t="s">
        <v>5</v>
      </c>
      <c r="F5" s="57" t="s">
        <v>6</v>
      </c>
      <c r="G5" s="57" t="s">
        <v>7</v>
      </c>
      <c r="H5" s="175"/>
      <c r="I5" s="2"/>
      <c r="J5" s="160"/>
      <c r="K5" s="161"/>
      <c r="L5" s="161"/>
      <c r="M5" s="161"/>
      <c r="N5" s="161"/>
      <c r="O5" s="162"/>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15" customHeight="1" x14ac:dyDescent="0.25">
      <c r="A6" s="3"/>
      <c r="B6" s="145" t="s">
        <v>8</v>
      </c>
      <c r="C6" s="57"/>
      <c r="D6" s="151">
        <v>45708</v>
      </c>
      <c r="E6" s="146">
        <v>4</v>
      </c>
      <c r="F6">
        <v>2</v>
      </c>
      <c r="G6" s="138">
        <f t="shared" ref="G6:G18" si="0">IF(NOT(ISBLANK(D6)), SUM(E6:F6), 0)</f>
        <v>6</v>
      </c>
      <c r="H6" s="175"/>
      <c r="I6" s="2"/>
      <c r="J6" s="143"/>
      <c r="K6" s="143"/>
      <c r="L6" s="143"/>
      <c r="M6" s="143"/>
      <c r="N6" s="143"/>
      <c r="O6" s="144"/>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x14ac:dyDescent="0.25">
      <c r="A7" s="3"/>
      <c r="B7" s="82" t="s">
        <v>9</v>
      </c>
      <c r="C7" s="58"/>
      <c r="D7" s="81">
        <v>45707</v>
      </c>
      <c r="E7" s="58">
        <v>12</v>
      </c>
      <c r="F7" s="139">
        <v>12</v>
      </c>
      <c r="G7" s="138">
        <f t="shared" si="0"/>
        <v>24</v>
      </c>
      <c r="H7" s="175"/>
      <c r="I7" s="4"/>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x14ac:dyDescent="0.25">
      <c r="A8" s="3"/>
      <c r="B8" s="82" t="s">
        <v>10</v>
      </c>
      <c r="C8" s="58"/>
      <c r="D8" s="81">
        <v>45742</v>
      </c>
      <c r="E8" s="58">
        <v>15</v>
      </c>
      <c r="F8" s="139">
        <v>17</v>
      </c>
      <c r="G8" s="138">
        <f t="shared" si="0"/>
        <v>32</v>
      </c>
      <c r="H8" s="175"/>
      <c r="I8" s="4"/>
      <c r="J8" s="3"/>
      <c r="K8" s="3"/>
      <c r="L8" s="3"/>
      <c r="M8" s="3"/>
      <c r="N8" s="3"/>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x14ac:dyDescent="0.25">
      <c r="A9" s="3"/>
      <c r="B9" s="82" t="s">
        <v>11</v>
      </c>
      <c r="C9" s="58"/>
      <c r="D9" s="81">
        <v>45798</v>
      </c>
      <c r="E9" s="58">
        <v>27</v>
      </c>
      <c r="F9" s="139">
        <v>27</v>
      </c>
      <c r="G9" s="138">
        <f t="shared" si="0"/>
        <v>54</v>
      </c>
      <c r="H9" s="175"/>
      <c r="I9" s="4"/>
      <c r="J9" s="3"/>
      <c r="K9" s="3"/>
      <c r="L9" s="3"/>
      <c r="M9" s="3"/>
      <c r="N9" s="3"/>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x14ac:dyDescent="0.25">
      <c r="A10" s="3"/>
      <c r="B10" s="90" t="s">
        <v>12</v>
      </c>
      <c r="C10" s="58"/>
      <c r="D10" s="81">
        <v>45826</v>
      </c>
      <c r="E10" s="58">
        <v>12</v>
      </c>
      <c r="F10" s="139">
        <v>12</v>
      </c>
      <c r="G10" s="138">
        <f t="shared" si="0"/>
        <v>24</v>
      </c>
      <c r="H10" s="175"/>
      <c r="I10" s="4"/>
      <c r="J10" s="3"/>
      <c r="K10" s="3"/>
      <c r="L10" s="3"/>
      <c r="M10" s="3"/>
      <c r="N10" s="3"/>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x14ac:dyDescent="0.25">
      <c r="A11" s="3"/>
      <c r="B11" s="82" t="s">
        <v>13</v>
      </c>
      <c r="C11" s="58"/>
      <c r="D11" s="81">
        <v>45875</v>
      </c>
      <c r="E11" s="58">
        <v>24</v>
      </c>
      <c r="F11" s="139">
        <v>22</v>
      </c>
      <c r="G11" s="138">
        <f t="shared" si="0"/>
        <v>46</v>
      </c>
      <c r="H11" s="175"/>
      <c r="I11" s="4"/>
      <c r="J11" s="3"/>
      <c r="K11" s="3"/>
      <c r="L11" s="3"/>
      <c r="M11" s="3"/>
      <c r="N11" s="3"/>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x14ac:dyDescent="0.25">
      <c r="A12" s="3"/>
      <c r="B12" s="82" t="s">
        <v>14</v>
      </c>
      <c r="C12" s="58"/>
      <c r="D12" s="81">
        <v>45903</v>
      </c>
      <c r="E12" s="58">
        <v>9</v>
      </c>
      <c r="F12" s="139">
        <v>12</v>
      </c>
      <c r="G12" s="138">
        <f t="shared" si="0"/>
        <v>21</v>
      </c>
      <c r="H12" s="175"/>
      <c r="I12" s="4"/>
      <c r="J12" s="3"/>
      <c r="K12" s="3"/>
      <c r="L12" s="3"/>
      <c r="M12" s="3"/>
      <c r="N12" s="3"/>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x14ac:dyDescent="0.25">
      <c r="A13" s="3"/>
      <c r="B13" s="82" t="s">
        <v>15</v>
      </c>
      <c r="C13" s="58"/>
      <c r="D13" s="81">
        <v>45938</v>
      </c>
      <c r="E13" s="58">
        <v>12</v>
      </c>
      <c r="F13" s="139">
        <v>12</v>
      </c>
      <c r="G13" s="138">
        <f t="shared" si="0"/>
        <v>24</v>
      </c>
      <c r="H13" s="175"/>
      <c r="I13" s="4"/>
      <c r="J13" s="3"/>
      <c r="K13" s="3"/>
      <c r="L13" s="3"/>
      <c r="M13" s="3"/>
      <c r="N13" s="3"/>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x14ac:dyDescent="0.25">
      <c r="A14" s="3"/>
      <c r="B14" s="82" t="s">
        <v>16</v>
      </c>
      <c r="C14" s="58"/>
      <c r="D14" s="81">
        <v>45980</v>
      </c>
      <c r="E14" s="58">
        <v>21</v>
      </c>
      <c r="F14" s="139">
        <v>22</v>
      </c>
      <c r="G14" s="138">
        <f t="shared" si="0"/>
        <v>43</v>
      </c>
      <c r="H14" s="175"/>
      <c r="I14" s="4"/>
      <c r="J14" s="3"/>
      <c r="K14" s="3"/>
      <c r="L14" s="3"/>
      <c r="M14" s="3"/>
      <c r="N14" s="3"/>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x14ac:dyDescent="0.25">
      <c r="A15" s="3"/>
      <c r="B15" s="82" t="s">
        <v>17</v>
      </c>
      <c r="C15" s="58"/>
      <c r="D15" s="58"/>
      <c r="E15" s="58">
        <v>18</v>
      </c>
      <c r="F15" s="139">
        <v>12</v>
      </c>
      <c r="G15" s="138">
        <f t="shared" si="0"/>
        <v>0</v>
      </c>
      <c r="H15" s="175"/>
      <c r="I15" s="4"/>
      <c r="J15" s="3"/>
      <c r="K15" s="3"/>
      <c r="L15" s="3"/>
      <c r="M15" s="3"/>
      <c r="N15" s="3"/>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x14ac:dyDescent="0.25">
      <c r="A16" s="3"/>
      <c r="B16" s="82" t="s">
        <v>18</v>
      </c>
      <c r="C16" s="58"/>
      <c r="D16" s="58"/>
      <c r="E16" s="58">
        <v>15</v>
      </c>
      <c r="F16" s="139">
        <v>12</v>
      </c>
      <c r="G16" s="138">
        <f t="shared" si="0"/>
        <v>0</v>
      </c>
      <c r="H16" s="175"/>
      <c r="I16" s="4"/>
      <c r="J16" s="3"/>
      <c r="K16" s="3"/>
      <c r="L16" s="3"/>
      <c r="M16" s="3"/>
      <c r="N16" s="3"/>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x14ac:dyDescent="0.25">
      <c r="A17" s="3"/>
      <c r="B17" s="82" t="s">
        <v>19</v>
      </c>
      <c r="C17" s="58"/>
      <c r="D17" s="58"/>
      <c r="E17" s="58">
        <v>15</v>
      </c>
      <c r="F17" s="139">
        <v>12</v>
      </c>
      <c r="G17" s="138">
        <f t="shared" si="0"/>
        <v>0</v>
      </c>
      <c r="H17" s="175"/>
      <c r="I17" s="4"/>
      <c r="J17" s="160"/>
      <c r="K17" s="161"/>
      <c r="L17" s="161"/>
      <c r="M17" s="161"/>
      <c r="N17" s="161"/>
      <c r="O17" s="16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x14ac:dyDescent="0.25">
      <c r="A18" s="3"/>
      <c r="B18" s="82" t="s">
        <v>20</v>
      </c>
      <c r="C18" s="58"/>
      <c r="D18" s="58"/>
      <c r="E18" s="58">
        <v>11</v>
      </c>
      <c r="F18" s="140">
        <v>0</v>
      </c>
      <c r="G18" s="138">
        <f t="shared" si="0"/>
        <v>0</v>
      </c>
      <c r="H18" s="175"/>
      <c r="I18" s="4"/>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16.5" customHeight="1" x14ac:dyDescent="0.25">
      <c r="A19" s="3"/>
      <c r="B19" s="32" t="s">
        <v>21</v>
      </c>
      <c r="C19" s="25"/>
      <c r="D19" s="25"/>
      <c r="E19" s="31">
        <f>SUM(E6:E18)</f>
        <v>195</v>
      </c>
      <c r="F19" s="141">
        <f>SUM(F7:F18)</f>
        <v>172</v>
      </c>
      <c r="G19" s="142">
        <f>SUM(G6:G18)</f>
        <v>274</v>
      </c>
      <c r="H19" s="175"/>
      <c r="I19" s="4"/>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16.5" customHeight="1" x14ac:dyDescent="0.25">
      <c r="A20" s="3"/>
      <c r="B20" s="2"/>
      <c r="C20" s="2"/>
      <c r="D20" s="2"/>
      <c r="E20" s="2"/>
      <c r="F20" s="2"/>
      <c r="G20" s="3"/>
      <c r="H20" s="61"/>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65.25" customHeight="1" x14ac:dyDescent="0.25">
      <c r="A21" s="3"/>
      <c r="B21" s="57" t="s">
        <v>22</v>
      </c>
      <c r="C21" s="57" t="s">
        <v>23</v>
      </c>
      <c r="D21" s="57" t="s">
        <v>24</v>
      </c>
      <c r="E21" s="57" t="s">
        <v>25</v>
      </c>
      <c r="F21" s="57" t="s">
        <v>26</v>
      </c>
      <c r="G21" s="57" t="s">
        <v>7</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84" customHeight="1" x14ac:dyDescent="0.25">
      <c r="A22" s="3"/>
      <c r="B22" s="58" t="s">
        <v>27</v>
      </c>
      <c r="C22" s="58"/>
      <c r="D22" s="81">
        <v>45798</v>
      </c>
      <c r="E22" s="58">
        <v>24</v>
      </c>
      <c r="F22" s="58"/>
      <c r="G22" s="58">
        <f>IF(NOT(ISBLANK(D22)), SUM(E22:F22), 0)</f>
        <v>24</v>
      </c>
      <c r="H22" s="186"/>
      <c r="I22" s="2"/>
      <c r="J22" s="160"/>
      <c r="K22" s="161"/>
      <c r="L22" s="161"/>
      <c r="M22" s="161"/>
      <c r="N22" s="161"/>
      <c r="O22" s="16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16.5" customHeight="1" x14ac:dyDescent="0.25">
      <c r="A23" s="3"/>
      <c r="B23" s="58" t="s">
        <v>28</v>
      </c>
      <c r="C23" s="58"/>
      <c r="D23" s="81">
        <v>45900</v>
      </c>
      <c r="E23" s="58">
        <v>24</v>
      </c>
      <c r="F23" s="58"/>
      <c r="G23" s="58">
        <f>IF(NOT(ISBLANK(D23)), SUM(E23:F23), 0)</f>
        <v>24</v>
      </c>
      <c r="H23" s="186"/>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16.5" customHeight="1" x14ac:dyDescent="0.25">
      <c r="A24" s="3"/>
      <c r="B24" s="58" t="s">
        <v>29</v>
      </c>
      <c r="C24" s="58"/>
      <c r="D24" s="58"/>
      <c r="E24" s="58">
        <v>24</v>
      </c>
      <c r="F24" s="58"/>
      <c r="G24" s="58">
        <f>IF(NOT(ISBLANK(D24)), SUM(E24:F24), 0)</f>
        <v>0</v>
      </c>
      <c r="H24" s="186"/>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16.5" customHeight="1" x14ac:dyDescent="0.25">
      <c r="A25" s="3"/>
      <c r="B25" s="58" t="s">
        <v>30</v>
      </c>
      <c r="C25" s="58"/>
      <c r="D25" s="58"/>
      <c r="E25" s="58">
        <v>24</v>
      </c>
      <c r="F25" s="58"/>
      <c r="G25" s="58">
        <f>IF(NOT(ISBLANK(D25)), SUM(E25:F25), 0)</f>
        <v>0</v>
      </c>
      <c r="H25" s="186"/>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16.5" customHeight="1" x14ac:dyDescent="0.25">
      <c r="A26" s="3"/>
      <c r="B26" s="58" t="s">
        <v>31</v>
      </c>
      <c r="C26" s="58"/>
      <c r="D26" s="58"/>
      <c r="E26" s="58">
        <v>24</v>
      </c>
      <c r="F26" s="58"/>
      <c r="G26" s="58">
        <f>IF(NOT(ISBLANK(D26)), SUM(E26:F26), 0)</f>
        <v>0</v>
      </c>
      <c r="H26" s="186"/>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16.5" customHeight="1" x14ac:dyDescent="0.25">
      <c r="A27" s="3"/>
      <c r="B27" s="58"/>
      <c r="C27" s="58"/>
      <c r="D27" s="58"/>
      <c r="E27" s="58"/>
      <c r="F27" s="58"/>
      <c r="G27" s="58"/>
      <c r="H27" s="186"/>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16.5" customHeight="1" x14ac:dyDescent="0.25">
      <c r="A28" s="3"/>
      <c r="B28" s="59" t="s">
        <v>7</v>
      </c>
      <c r="C28" s="58"/>
      <c r="D28" s="58"/>
      <c r="E28" s="60">
        <f>SUM(E22:E27)</f>
        <v>120</v>
      </c>
      <c r="F28" s="60">
        <f>SUM(F22:F26)</f>
        <v>0</v>
      </c>
      <c r="G28" s="60">
        <f>SUM(G22:H27)</f>
        <v>48</v>
      </c>
      <c r="H28" s="186"/>
      <c r="I28" s="4"/>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5.5" customHeight="1" x14ac:dyDescent="0.25">
      <c r="A29" s="2"/>
      <c r="B29" s="169"/>
      <c r="C29" s="170"/>
      <c r="D29" s="170"/>
      <c r="E29" s="170"/>
      <c r="F29" s="170"/>
      <c r="G29" s="170"/>
      <c r="H29" s="171"/>
      <c r="I29" s="2"/>
      <c r="J29" s="160"/>
      <c r="K29" s="161"/>
      <c r="L29" s="161"/>
      <c r="M29" s="161"/>
      <c r="N29" s="161"/>
      <c r="O29" s="16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33.75" customHeight="1" x14ac:dyDescent="0.25">
      <c r="A30" s="2"/>
      <c r="B30" s="20" t="s">
        <v>32</v>
      </c>
      <c r="F30" s="1"/>
      <c r="G30" s="2"/>
      <c r="H30" s="2"/>
      <c r="I30" s="2"/>
      <c r="J30" s="166"/>
      <c r="K30" s="167"/>
      <c r="L30" s="167"/>
      <c r="M30" s="167"/>
      <c r="N30" s="167"/>
      <c r="O30" s="168"/>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8.5" customHeight="1" x14ac:dyDescent="0.25">
      <c r="A31" s="2"/>
      <c r="B31" s="172" t="s">
        <v>33</v>
      </c>
      <c r="C31" s="173"/>
      <c r="D31" s="173"/>
      <c r="E31" s="173"/>
      <c r="F31" s="174"/>
      <c r="G31" s="2"/>
      <c r="H31" s="2"/>
      <c r="I31" s="2"/>
      <c r="J31" s="52"/>
      <c r="K31" s="52"/>
      <c r="L31" s="52"/>
      <c r="M31" s="52"/>
      <c r="N31" s="52"/>
      <c r="O31" s="53"/>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8.5" customHeight="1" x14ac:dyDescent="0.25">
      <c r="A32" s="2"/>
      <c r="B32" t="s">
        <v>34</v>
      </c>
      <c r="F32" s="1"/>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16.5" customHeight="1" x14ac:dyDescent="0.25">
      <c r="A33" s="3"/>
      <c r="B33" s="38"/>
      <c r="C33" s="39"/>
      <c r="D33" s="39"/>
      <c r="E33" s="40"/>
      <c r="F33" s="40"/>
      <c r="G33" s="40"/>
      <c r="H33" s="42"/>
      <c r="I33" s="4"/>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16.5" customHeight="1" x14ac:dyDescent="0.25">
      <c r="A34" s="3"/>
      <c r="B34" s="35"/>
      <c r="C34" s="41"/>
      <c r="D34" s="41"/>
      <c r="E34" s="41"/>
      <c r="F34" s="35"/>
      <c r="G34" s="39"/>
      <c r="H34" s="42"/>
      <c r="I34" s="4"/>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60" customHeight="1" x14ac:dyDescent="0.25">
      <c r="A35" s="3"/>
      <c r="B35" s="57" t="s">
        <v>35</v>
      </c>
      <c r="C35" s="57" t="s">
        <v>36</v>
      </c>
      <c r="D35" s="64" t="s">
        <v>37</v>
      </c>
      <c r="E35" s="180" t="s">
        <v>38</v>
      </c>
      <c r="F35" s="180"/>
      <c r="G35" s="64" t="s">
        <v>25</v>
      </c>
      <c r="H35" s="187" t="s">
        <v>39</v>
      </c>
      <c r="I35" s="4"/>
      <c r="J35" s="160"/>
      <c r="K35" s="161"/>
      <c r="L35" s="161"/>
      <c r="M35" s="161"/>
      <c r="N35" s="161"/>
      <c r="O35" s="16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17.25" customHeight="1" x14ac:dyDescent="0.25">
      <c r="A36" s="62"/>
      <c r="B36" s="82" t="s">
        <v>262</v>
      </c>
      <c r="C36" s="78" t="s">
        <v>144</v>
      </c>
      <c r="D36" s="152">
        <v>45694</v>
      </c>
      <c r="E36" s="181" t="s">
        <v>263</v>
      </c>
      <c r="F36" s="182"/>
      <c r="G36" s="106">
        <v>0.5</v>
      </c>
      <c r="H36" s="188"/>
      <c r="I36" s="4"/>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17.25" customHeight="1" x14ac:dyDescent="0.25">
      <c r="A37" s="62"/>
      <c r="B37" s="82" t="s">
        <v>264</v>
      </c>
      <c r="C37" s="78" t="s">
        <v>144</v>
      </c>
      <c r="D37" s="153">
        <v>45699</v>
      </c>
      <c r="E37" s="181" t="s">
        <v>263</v>
      </c>
      <c r="F37" s="182"/>
      <c r="G37" s="106">
        <v>2</v>
      </c>
      <c r="H37" s="188"/>
      <c r="I37" s="5"/>
      <c r="J37" s="163"/>
      <c r="K37" s="164"/>
      <c r="L37" s="164"/>
      <c r="M37" s="164"/>
      <c r="N37" s="164"/>
      <c r="O37" s="165"/>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17.25" customHeight="1" x14ac:dyDescent="0.25">
      <c r="A38" s="155"/>
      <c r="B38" s="82" t="s">
        <v>279</v>
      </c>
      <c r="C38" s="78" t="s">
        <v>143</v>
      </c>
      <c r="D38" s="153">
        <v>45701</v>
      </c>
      <c r="E38" s="183" t="s">
        <v>280</v>
      </c>
      <c r="F38" s="182"/>
      <c r="G38" s="106">
        <v>7</v>
      </c>
      <c r="H38" s="188"/>
      <c r="I38" s="2"/>
      <c r="J38" s="156"/>
      <c r="K38" s="156"/>
      <c r="L38" s="156"/>
      <c r="M38" s="156"/>
      <c r="N38" s="156"/>
      <c r="O38" s="157"/>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17.25" customHeight="1" x14ac:dyDescent="0.25">
      <c r="A39" s="3"/>
      <c r="B39" s="82" t="s">
        <v>265</v>
      </c>
      <c r="C39" s="78" t="s">
        <v>144</v>
      </c>
      <c r="D39" s="154">
        <v>45712</v>
      </c>
      <c r="E39" s="179" t="s">
        <v>268</v>
      </c>
      <c r="F39" s="179"/>
      <c r="G39" s="106">
        <v>0.5</v>
      </c>
      <c r="H39" s="188"/>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17.25" customHeight="1" x14ac:dyDescent="0.25">
      <c r="A40" s="3"/>
      <c r="B40" s="82" t="s">
        <v>266</v>
      </c>
      <c r="C40" s="78" t="s">
        <v>144</v>
      </c>
      <c r="D40" s="154">
        <v>45712</v>
      </c>
      <c r="E40" s="179" t="s">
        <v>263</v>
      </c>
      <c r="F40" s="179"/>
      <c r="G40" s="106">
        <v>0.5</v>
      </c>
      <c r="H40" s="188"/>
      <c r="I40" s="2"/>
      <c r="J40" s="160"/>
      <c r="K40" s="161"/>
      <c r="L40" s="161"/>
      <c r="M40" s="161"/>
      <c r="N40" s="161"/>
      <c r="O40" s="16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17.25" customHeight="1" x14ac:dyDescent="0.25">
      <c r="A41" s="3"/>
      <c r="B41" s="82" t="s">
        <v>267</v>
      </c>
      <c r="C41" s="78" t="s">
        <v>146</v>
      </c>
      <c r="D41" s="154">
        <v>45712</v>
      </c>
      <c r="E41" s="179" t="s">
        <v>269</v>
      </c>
      <c r="F41" s="179"/>
      <c r="G41" s="106">
        <v>0.5</v>
      </c>
      <c r="H41" s="188"/>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17.25" customHeight="1" x14ac:dyDescent="0.25">
      <c r="A42" s="3"/>
      <c r="B42" s="82" t="s">
        <v>270</v>
      </c>
      <c r="C42" s="78" t="s">
        <v>145</v>
      </c>
      <c r="D42" s="154">
        <v>45713</v>
      </c>
      <c r="E42" s="179" t="s">
        <v>271</v>
      </c>
      <c r="F42" s="179"/>
      <c r="G42" s="106">
        <v>0.5</v>
      </c>
      <c r="H42" s="188"/>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17.25" customHeight="1" x14ac:dyDescent="0.25">
      <c r="A43" s="3"/>
      <c r="B43" s="82" t="s">
        <v>272</v>
      </c>
      <c r="C43" s="78" t="s">
        <v>144</v>
      </c>
      <c r="D43" s="154">
        <v>45713</v>
      </c>
      <c r="E43" s="179" t="s">
        <v>273</v>
      </c>
      <c r="F43" s="179"/>
      <c r="G43" s="106">
        <v>0.5</v>
      </c>
      <c r="H43" s="188"/>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17.25" customHeight="1" x14ac:dyDescent="0.25">
      <c r="A44" s="3"/>
      <c r="B44" s="82" t="s">
        <v>274</v>
      </c>
      <c r="C44" s="78" t="s">
        <v>144</v>
      </c>
      <c r="D44" s="154">
        <v>45713</v>
      </c>
      <c r="E44" s="179" t="s">
        <v>271</v>
      </c>
      <c r="F44" s="179"/>
      <c r="G44" s="106">
        <v>0.5</v>
      </c>
      <c r="H44" s="188"/>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17.25" customHeight="1" x14ac:dyDescent="0.25">
      <c r="A45" s="3"/>
      <c r="B45" s="82" t="s">
        <v>275</v>
      </c>
      <c r="C45" s="78" t="s">
        <v>144</v>
      </c>
      <c r="D45" s="154">
        <v>45803</v>
      </c>
      <c r="E45" s="179" t="s">
        <v>276</v>
      </c>
      <c r="F45" s="179"/>
      <c r="G45" s="149">
        <v>0.5</v>
      </c>
      <c r="H45" s="188"/>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17.25" customHeight="1" x14ac:dyDescent="0.25">
      <c r="A46" s="3"/>
      <c r="B46" s="82" t="s">
        <v>277</v>
      </c>
      <c r="C46" s="78" t="s">
        <v>144</v>
      </c>
      <c r="D46" s="154">
        <v>45714</v>
      </c>
      <c r="E46" s="179" t="s">
        <v>271</v>
      </c>
      <c r="F46" s="179"/>
      <c r="G46" s="106">
        <v>0.5</v>
      </c>
      <c r="H46" s="188"/>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17.25" customHeight="1" x14ac:dyDescent="0.25">
      <c r="A47" s="3"/>
      <c r="B47" s="82" t="s">
        <v>278</v>
      </c>
      <c r="C47" s="78" t="s">
        <v>145</v>
      </c>
      <c r="D47" s="154">
        <v>45723</v>
      </c>
      <c r="E47" s="179" t="s">
        <v>271</v>
      </c>
      <c r="F47" s="179"/>
      <c r="G47" s="106">
        <v>1</v>
      </c>
      <c r="H47" s="188"/>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17.25" customHeight="1" x14ac:dyDescent="0.25">
      <c r="A48" s="3"/>
      <c r="B48" s="82" t="s">
        <v>281</v>
      </c>
      <c r="C48" s="78"/>
      <c r="D48" s="81">
        <v>45726</v>
      </c>
      <c r="E48" s="179" t="s">
        <v>282</v>
      </c>
      <c r="F48" s="179"/>
      <c r="G48" s="106">
        <v>0.5</v>
      </c>
      <c r="H48" s="188"/>
      <c r="I48" s="43"/>
      <c r="J48" s="3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17.25" customHeight="1" x14ac:dyDescent="0.25">
      <c r="A49" s="3"/>
      <c r="B49" s="82" t="s">
        <v>283</v>
      </c>
      <c r="C49" s="78"/>
      <c r="D49" s="81">
        <v>45743</v>
      </c>
      <c r="E49" s="179" t="s">
        <v>284</v>
      </c>
      <c r="F49" s="179"/>
      <c r="G49" s="63">
        <v>2</v>
      </c>
      <c r="H49" s="188"/>
      <c r="I49" s="43"/>
      <c r="J49" s="37"/>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17.25" customHeight="1" x14ac:dyDescent="0.25">
      <c r="A50" s="3"/>
      <c r="B50" s="83" t="s">
        <v>285</v>
      </c>
      <c r="C50" s="78" t="s">
        <v>144</v>
      </c>
      <c r="D50" s="81">
        <v>45805</v>
      </c>
      <c r="E50" s="179" t="s">
        <v>271</v>
      </c>
      <c r="F50" s="179"/>
      <c r="G50" s="63">
        <v>1</v>
      </c>
      <c r="H50" s="188"/>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17.25" customHeight="1" x14ac:dyDescent="0.25">
      <c r="A51" s="34"/>
      <c r="B51" s="79" t="s">
        <v>286</v>
      </c>
      <c r="C51" s="78"/>
      <c r="D51" s="81">
        <v>45806</v>
      </c>
      <c r="E51" s="179" t="s">
        <v>295</v>
      </c>
      <c r="F51" s="179"/>
      <c r="G51" s="63">
        <v>1</v>
      </c>
      <c r="H51" s="188"/>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17.25" customHeight="1" x14ac:dyDescent="0.25">
      <c r="A52" s="3"/>
      <c r="B52" s="79" t="s">
        <v>287</v>
      </c>
      <c r="C52" s="78"/>
      <c r="D52" s="81">
        <v>45793</v>
      </c>
      <c r="E52" s="179" t="s">
        <v>302</v>
      </c>
      <c r="F52" s="179"/>
      <c r="G52" s="63">
        <v>30</v>
      </c>
      <c r="H52" s="188"/>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17.25" customHeight="1" x14ac:dyDescent="0.25">
      <c r="A53" s="3"/>
      <c r="B53" s="79" t="s">
        <v>288</v>
      </c>
      <c r="C53" s="78"/>
      <c r="D53" s="81">
        <v>45855</v>
      </c>
      <c r="E53" s="179" t="s">
        <v>296</v>
      </c>
      <c r="F53" s="179"/>
      <c r="G53" s="63">
        <v>1</v>
      </c>
      <c r="H53" s="188"/>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17.25" customHeight="1" x14ac:dyDescent="0.25">
      <c r="A54" s="3"/>
      <c r="B54" s="79" t="s">
        <v>303</v>
      </c>
      <c r="C54" s="78"/>
      <c r="D54" s="81">
        <v>45859</v>
      </c>
      <c r="E54" s="184" t="s">
        <v>304</v>
      </c>
      <c r="F54" s="185"/>
      <c r="G54" s="63">
        <v>1</v>
      </c>
      <c r="H54" s="188"/>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17.25" customHeight="1" x14ac:dyDescent="0.25">
      <c r="A55" s="3"/>
      <c r="B55" s="79" t="s">
        <v>305</v>
      </c>
      <c r="C55" s="78"/>
      <c r="D55" s="81">
        <v>45866</v>
      </c>
      <c r="E55" s="184" t="s">
        <v>306</v>
      </c>
      <c r="F55" s="185"/>
      <c r="G55" s="63">
        <v>1</v>
      </c>
      <c r="H55" s="188"/>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17.25" customHeight="1" x14ac:dyDescent="0.25">
      <c r="A56" s="3"/>
      <c r="B56" s="79" t="s">
        <v>289</v>
      </c>
      <c r="C56" s="78"/>
      <c r="D56" s="81">
        <v>45873</v>
      </c>
      <c r="E56" s="179" t="s">
        <v>297</v>
      </c>
      <c r="F56" s="179"/>
      <c r="G56" s="63">
        <v>1</v>
      </c>
      <c r="H56" s="188"/>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17.25" customHeight="1" x14ac:dyDescent="0.25">
      <c r="A57" s="3"/>
      <c r="B57" s="79" t="s">
        <v>290</v>
      </c>
      <c r="C57" s="78"/>
      <c r="D57" s="81">
        <v>45873</v>
      </c>
      <c r="E57" s="179" t="s">
        <v>297</v>
      </c>
      <c r="F57" s="179"/>
      <c r="G57" s="63">
        <v>0.5</v>
      </c>
      <c r="H57" s="188"/>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17.25" customHeight="1" x14ac:dyDescent="0.25">
      <c r="A58" s="3"/>
      <c r="B58" s="58" t="s">
        <v>291</v>
      </c>
      <c r="C58" s="78"/>
      <c r="D58" s="81">
        <v>45874</v>
      </c>
      <c r="E58" s="179" t="s">
        <v>298</v>
      </c>
      <c r="F58" s="179"/>
      <c r="G58" s="63">
        <v>1</v>
      </c>
      <c r="H58" s="188"/>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17.25" customHeight="1" x14ac:dyDescent="0.25">
      <c r="A59" s="3"/>
      <c r="B59" s="58" t="s">
        <v>292</v>
      </c>
      <c r="C59" s="78"/>
      <c r="D59" s="81">
        <v>45880</v>
      </c>
      <c r="E59" s="179" t="s">
        <v>299</v>
      </c>
      <c r="F59" s="179"/>
      <c r="G59" s="63">
        <v>0.5</v>
      </c>
      <c r="H59" s="188"/>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17.25" customHeight="1" x14ac:dyDescent="0.25">
      <c r="A60" s="3"/>
      <c r="B60" s="58" t="s">
        <v>293</v>
      </c>
      <c r="C60" s="78"/>
      <c r="D60" s="81">
        <v>45884</v>
      </c>
      <c r="E60" s="179" t="s">
        <v>300</v>
      </c>
      <c r="F60" s="179"/>
      <c r="G60" s="63">
        <v>1</v>
      </c>
      <c r="H60" s="188"/>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ht="17.25" customHeight="1" x14ac:dyDescent="0.25">
      <c r="A61" s="3"/>
      <c r="B61" s="58" t="s">
        <v>294</v>
      </c>
      <c r="C61" s="78"/>
      <c r="D61" s="81">
        <v>45888</v>
      </c>
      <c r="E61" s="179" t="s">
        <v>301</v>
      </c>
      <c r="F61" s="179"/>
      <c r="G61" s="63">
        <v>7</v>
      </c>
      <c r="H61" s="188"/>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ht="17.25" customHeight="1" x14ac:dyDescent="0.25">
      <c r="A62" s="3"/>
      <c r="B62" s="58" t="s">
        <v>307</v>
      </c>
      <c r="C62" s="78"/>
      <c r="D62" s="81">
        <v>45960</v>
      </c>
      <c r="E62" s="179" t="s">
        <v>300</v>
      </c>
      <c r="F62" s="179"/>
      <c r="G62" s="63">
        <v>20</v>
      </c>
      <c r="H62" s="188"/>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17.25" customHeight="1" x14ac:dyDescent="0.25">
      <c r="A63" s="3"/>
      <c r="B63" s="58" t="s">
        <v>308</v>
      </c>
      <c r="C63" s="78"/>
      <c r="D63" s="81">
        <v>45966</v>
      </c>
      <c r="E63" s="210" t="s">
        <v>309</v>
      </c>
      <c r="F63" s="211"/>
      <c r="G63" s="63">
        <v>2</v>
      </c>
      <c r="H63" s="188"/>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ht="17.25" customHeight="1" x14ac:dyDescent="0.25">
      <c r="A64" s="3"/>
      <c r="B64" s="58"/>
      <c r="C64" s="78"/>
      <c r="D64" s="58"/>
      <c r="E64" s="208"/>
      <c r="F64" s="209"/>
      <c r="G64" s="63"/>
      <c r="H64" s="188"/>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ht="17.25" customHeight="1" x14ac:dyDescent="0.25">
      <c r="A65" s="3"/>
      <c r="B65" s="58"/>
      <c r="C65" s="78"/>
      <c r="D65" s="58"/>
      <c r="E65" s="208"/>
      <c r="F65" s="209"/>
      <c r="G65" s="63"/>
      <c r="H65" s="188"/>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ht="17.25" customHeight="1" x14ac:dyDescent="0.25">
      <c r="A66" s="3"/>
      <c r="B66" s="58"/>
      <c r="C66" s="78"/>
      <c r="D66" s="58"/>
      <c r="E66" s="179"/>
      <c r="F66" s="179"/>
      <c r="G66" s="63"/>
      <c r="H66" s="188"/>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x14ac:dyDescent="0.25">
      <c r="A67" s="3"/>
      <c r="B67" s="129" t="s">
        <v>7</v>
      </c>
      <c r="C67" s="130"/>
      <c r="D67" s="131"/>
      <c r="E67" s="190"/>
      <c r="F67" s="190"/>
      <c r="G67" s="36">
        <f>SUM(G36:G66)</f>
        <v>85</v>
      </c>
      <c r="H67" s="189"/>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x14ac:dyDescent="0.25">
      <c r="A68" s="3"/>
      <c r="B68" s="136"/>
      <c r="C68" s="132"/>
      <c r="D68" s="133"/>
      <c r="E68" s="1"/>
      <c r="F68" s="1"/>
      <c r="G68" s="137"/>
      <c r="H68" s="128"/>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ht="15.75" thickBot="1" x14ac:dyDescent="0.3">
      <c r="A69" s="3"/>
      <c r="B69" s="134" t="s">
        <v>40</v>
      </c>
      <c r="C69" s="134"/>
      <c r="D69" s="135"/>
      <c r="E69" s="27"/>
      <c r="F69" s="27"/>
      <c r="G69" s="51">
        <f>G67+G19+G28+G68</f>
        <v>407</v>
      </c>
      <c r="H69" s="44"/>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x14ac:dyDescent="0.25">
      <c r="A70" s="3"/>
      <c r="B70" s="2"/>
      <c r="C70" s="2"/>
      <c r="D70" s="2"/>
      <c r="E70" s="2"/>
      <c r="F70" s="2"/>
      <c r="G70" s="2"/>
      <c r="H70" s="43"/>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x14ac:dyDescent="0.25">
      <c r="A71" s="3"/>
      <c r="B71" s="1"/>
      <c r="D71" s="2"/>
      <c r="F71" s="2"/>
      <c r="G71" s="2"/>
      <c r="H71" s="37"/>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x14ac:dyDescent="0.25">
      <c r="A72" s="3"/>
      <c r="B72" s="58" t="s">
        <v>41</v>
      </c>
      <c r="C72" s="58">
        <f>'List - Hide'!AC11</f>
        <v>487</v>
      </c>
      <c r="D72" s="2"/>
      <c r="F72" s="2"/>
      <c r="G72" s="2"/>
      <c r="H72" s="37"/>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x14ac:dyDescent="0.25">
      <c r="A73" s="3"/>
      <c r="B73" s="58" t="s">
        <v>42</v>
      </c>
      <c r="C73" s="58">
        <f>G69</f>
        <v>407</v>
      </c>
      <c r="D73" s="2"/>
      <c r="F73" s="2"/>
      <c r="G73" s="2"/>
      <c r="H73" s="37"/>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x14ac:dyDescent="0.25">
      <c r="A74" s="3"/>
      <c r="B74" s="58" t="s">
        <v>43</v>
      </c>
      <c r="C74" s="60">
        <f>C72-C73</f>
        <v>80</v>
      </c>
      <c r="D74" s="2"/>
      <c r="F74" s="2"/>
      <c r="G74" s="2"/>
      <c r="H74" s="37"/>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x14ac:dyDescent="0.25">
      <c r="A75" s="3"/>
      <c r="B75" s="2"/>
      <c r="D75" s="2"/>
      <c r="F75" s="2"/>
      <c r="G75" s="2"/>
      <c r="H75" s="37"/>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x14ac:dyDescent="0.25">
      <c r="A76" s="3"/>
      <c r="B76" s="2"/>
      <c r="D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x14ac:dyDescent="0.25">
      <c r="A77" s="3"/>
      <c r="B77" s="2"/>
      <c r="D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x14ac:dyDescent="0.25">
      <c r="A78" s="3"/>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x14ac:dyDescent="0.25">
      <c r="A79" s="3"/>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x14ac:dyDescent="0.25">
      <c r="A80" s="3"/>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x14ac:dyDescent="0.25">
      <c r="A81" s="3"/>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x14ac:dyDescent="0.25">
      <c r="A82" s="3"/>
      <c r="B82" s="2"/>
      <c r="C82" s="2"/>
      <c r="D82" s="2"/>
      <c r="E82" s="2"/>
      <c r="F82" s="2"/>
      <c r="G82" s="2"/>
      <c r="H82" s="2"/>
      <c r="I82" s="4"/>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x14ac:dyDescent="0.25">
      <c r="A83" s="3"/>
      <c r="B83" s="2"/>
      <c r="C83" s="2"/>
      <c r="D83" s="2"/>
      <c r="E83" s="2"/>
      <c r="F83" s="2"/>
      <c r="G83" s="2"/>
      <c r="H83" s="2"/>
      <c r="I83" s="5"/>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x14ac:dyDescent="0.25">
      <c r="A84" s="2"/>
      <c r="B84" s="2"/>
      <c r="C84" s="2"/>
      <c r="D84" s="2"/>
      <c r="E84" s="2"/>
      <c r="F84" s="2"/>
      <c r="G84" s="2"/>
      <c r="H84" s="2"/>
      <c r="I84" s="5"/>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x14ac:dyDescent="0.2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x14ac:dyDescent="0.2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x14ac:dyDescent="0.2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1:42" x14ac:dyDescent="0.2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spans="1:42" x14ac:dyDescent="0.2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spans="1:42" x14ac:dyDescent="0.2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spans="1:42" x14ac:dyDescent="0.2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spans="1:42" x14ac:dyDescent="0.2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spans="1:42" x14ac:dyDescent="0.2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42" x14ac:dyDescent="0.2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42" x14ac:dyDescent="0.2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42" x14ac:dyDescent="0.2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x14ac:dyDescent="0.2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x14ac:dyDescent="0.2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x14ac:dyDescent="0.2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x14ac:dyDescent="0.2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x14ac:dyDescent="0.2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x14ac:dyDescent="0.2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x14ac:dyDescent="0.2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x14ac:dyDescent="0.2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x14ac:dyDescent="0.2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x14ac:dyDescent="0.2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x14ac:dyDescent="0.2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x14ac:dyDescent="0.2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x14ac:dyDescent="0.25">
      <c r="A109" s="3"/>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x14ac:dyDescent="0.25">
      <c r="A110" s="3"/>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x14ac:dyDescent="0.25">
      <c r="A111" s="3"/>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x14ac:dyDescent="0.25">
      <c r="A112" s="3"/>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x14ac:dyDescent="0.25">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x14ac:dyDescent="0.25">
      <c r="A114" s="4"/>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x14ac:dyDescent="0.2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x14ac:dyDescent="0.2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x14ac:dyDescent="0.2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x14ac:dyDescent="0.2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x14ac:dyDescent="0.2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x14ac:dyDescent="0.2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x14ac:dyDescent="0.2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x14ac:dyDescent="0.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x14ac:dyDescent="0.2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x14ac:dyDescent="0.2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x14ac:dyDescent="0.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x14ac:dyDescent="0.2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x14ac:dyDescent="0.2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x14ac:dyDescent="0.2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x14ac:dyDescent="0.2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x14ac:dyDescent="0.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x14ac:dyDescent="0.2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x14ac:dyDescent="0.2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x14ac:dyDescent="0.2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x14ac:dyDescent="0.2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x14ac:dyDescent="0.2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x14ac:dyDescent="0.2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x14ac:dyDescent="0.2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x14ac:dyDescent="0.2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x14ac:dyDescent="0.2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x14ac:dyDescent="0.2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x14ac:dyDescent="0.2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x14ac:dyDescent="0.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x14ac:dyDescent="0.2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x14ac:dyDescent="0.2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x14ac:dyDescent="0.2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x14ac:dyDescent="0.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x14ac:dyDescent="0.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x14ac:dyDescent="0.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x14ac:dyDescent="0.25">
      <c r="A149" s="2"/>
      <c r="B149" s="2"/>
      <c r="C149" s="2"/>
      <c r="D149" s="2"/>
      <c r="E149" s="2"/>
      <c r="F149" s="2"/>
      <c r="G149" s="2"/>
      <c r="H149" s="2"/>
      <c r="I149" s="2"/>
      <c r="J149" s="2"/>
      <c r="K149" s="2"/>
      <c r="L149" s="2"/>
      <c r="M149" s="2"/>
      <c r="N149" s="2"/>
      <c r="O149" s="2"/>
      <c r="P149" s="2"/>
      <c r="Q149" s="2"/>
      <c r="R149" s="2"/>
    </row>
    <row r="150" spans="1:35" x14ac:dyDescent="0.25">
      <c r="A150" s="2"/>
      <c r="B150" s="2"/>
      <c r="C150" s="2"/>
      <c r="D150" s="2"/>
      <c r="E150" s="2"/>
      <c r="F150" s="2"/>
      <c r="G150" s="2"/>
      <c r="H150" s="2"/>
      <c r="I150" s="2"/>
      <c r="J150" s="2"/>
      <c r="K150" s="2"/>
      <c r="L150" s="2"/>
      <c r="M150" s="2"/>
      <c r="N150" s="2"/>
      <c r="O150" s="2"/>
      <c r="P150" s="2"/>
      <c r="Q150" s="2"/>
      <c r="R150" s="2"/>
    </row>
    <row r="151" spans="1:35" x14ac:dyDescent="0.25">
      <c r="A151" s="2"/>
      <c r="B151" s="2"/>
      <c r="C151" s="2"/>
      <c r="D151" s="2"/>
      <c r="E151" s="2"/>
      <c r="F151" s="2"/>
      <c r="G151" s="2"/>
      <c r="H151" s="2"/>
      <c r="I151" s="2"/>
      <c r="J151" s="2"/>
      <c r="K151" s="2"/>
      <c r="L151" s="2"/>
      <c r="M151" s="2"/>
      <c r="N151" s="2"/>
      <c r="O151" s="2"/>
      <c r="P151" s="2"/>
      <c r="Q151" s="2"/>
      <c r="R151" s="2"/>
    </row>
    <row r="152" spans="1:35" x14ac:dyDescent="0.25">
      <c r="A152" s="2"/>
      <c r="B152" s="2"/>
      <c r="C152" s="2"/>
      <c r="D152" s="2"/>
      <c r="E152" s="2"/>
      <c r="F152" s="2"/>
      <c r="G152" s="2"/>
      <c r="H152" s="2"/>
      <c r="I152" s="2"/>
      <c r="J152" s="2"/>
      <c r="K152" s="2"/>
      <c r="L152" s="2"/>
      <c r="M152" s="2"/>
      <c r="N152" s="2"/>
      <c r="O152" s="2"/>
      <c r="P152" s="2"/>
      <c r="Q152" s="2"/>
      <c r="R152" s="2"/>
    </row>
    <row r="153" spans="1:35" x14ac:dyDescent="0.25">
      <c r="A153" s="2"/>
      <c r="B153" s="2"/>
      <c r="C153" s="2"/>
      <c r="D153" s="2"/>
      <c r="E153" s="2"/>
      <c r="F153" s="2"/>
      <c r="G153" s="2"/>
      <c r="H153" s="2"/>
      <c r="I153" s="2"/>
      <c r="J153" s="2"/>
      <c r="K153" s="2"/>
      <c r="L153" s="2"/>
      <c r="M153" s="2"/>
      <c r="N153" s="2"/>
      <c r="O153" s="2"/>
      <c r="P153" s="2"/>
      <c r="Q153" s="2"/>
      <c r="R153" s="2"/>
    </row>
    <row r="154" spans="1:35" x14ac:dyDescent="0.25">
      <c r="A154" s="2"/>
      <c r="B154" s="2"/>
      <c r="C154" s="2"/>
      <c r="D154" s="2"/>
      <c r="E154" s="2"/>
      <c r="F154" s="2"/>
      <c r="G154" s="2"/>
      <c r="H154" s="2"/>
      <c r="I154" s="2"/>
      <c r="J154" s="2"/>
      <c r="K154" s="2"/>
      <c r="L154" s="2"/>
      <c r="M154" s="2"/>
      <c r="N154" s="2"/>
      <c r="O154" s="2"/>
      <c r="P154" s="2"/>
      <c r="Q154" s="2"/>
      <c r="R154" s="2"/>
    </row>
    <row r="155" spans="1:35" x14ac:dyDescent="0.25">
      <c r="A155" s="2"/>
      <c r="B155" s="2"/>
      <c r="C155" s="2"/>
      <c r="D155" s="2"/>
      <c r="E155" s="2"/>
      <c r="F155" s="2"/>
      <c r="G155" s="2"/>
      <c r="H155" s="2"/>
      <c r="I155" s="2"/>
      <c r="J155" s="2"/>
      <c r="K155" s="2"/>
      <c r="L155" s="2"/>
      <c r="M155" s="2"/>
      <c r="N155" s="2"/>
      <c r="O155" s="2"/>
      <c r="P155" s="2"/>
      <c r="Q155" s="2"/>
      <c r="R155" s="2"/>
    </row>
    <row r="156" spans="1:35" x14ac:dyDescent="0.25">
      <c r="A156" s="2"/>
      <c r="B156" s="2"/>
      <c r="C156" s="2"/>
      <c r="D156" s="2"/>
      <c r="E156" s="2"/>
      <c r="F156" s="2"/>
      <c r="G156" s="2"/>
      <c r="H156" s="2"/>
      <c r="I156" s="2"/>
      <c r="J156" s="2"/>
      <c r="K156" s="2"/>
      <c r="L156" s="2"/>
      <c r="M156" s="2"/>
      <c r="N156" s="2"/>
      <c r="O156" s="2"/>
      <c r="P156" s="2"/>
      <c r="Q156" s="2"/>
      <c r="R156" s="2"/>
    </row>
    <row r="157" spans="1:35" x14ac:dyDescent="0.25">
      <c r="A157" s="2"/>
      <c r="B157" s="2"/>
      <c r="C157" s="2"/>
      <c r="D157" s="2"/>
      <c r="E157" s="2"/>
      <c r="F157" s="2"/>
      <c r="G157" s="2"/>
      <c r="H157" s="2"/>
      <c r="I157" s="2"/>
      <c r="J157" s="2"/>
      <c r="K157" s="2"/>
      <c r="L157" s="2"/>
      <c r="M157" s="2"/>
      <c r="N157" s="2"/>
      <c r="O157" s="2"/>
      <c r="P157" s="2"/>
      <c r="Q157" s="2"/>
      <c r="R157" s="2"/>
    </row>
    <row r="158" spans="1:35" x14ac:dyDescent="0.25">
      <c r="A158" s="2"/>
      <c r="B158" s="2"/>
      <c r="C158" s="2"/>
      <c r="D158" s="2"/>
      <c r="E158" s="2"/>
      <c r="F158" s="2"/>
      <c r="G158" s="2"/>
      <c r="H158" s="2"/>
      <c r="I158" s="2"/>
      <c r="J158" s="2"/>
      <c r="K158" s="2"/>
      <c r="L158" s="2"/>
      <c r="M158" s="2"/>
      <c r="N158" s="2"/>
      <c r="O158" s="2"/>
      <c r="P158" s="2"/>
      <c r="Q158" s="2"/>
      <c r="R158" s="2"/>
    </row>
    <row r="159" spans="1:35" x14ac:dyDescent="0.25">
      <c r="A159" s="2"/>
      <c r="B159" s="2"/>
      <c r="C159" s="2"/>
      <c r="D159" s="2"/>
      <c r="E159" s="2"/>
      <c r="F159" s="2"/>
      <c r="G159" s="2"/>
      <c r="H159" s="2"/>
      <c r="I159" s="2"/>
      <c r="J159" s="2"/>
      <c r="K159" s="2"/>
      <c r="L159" s="2"/>
      <c r="M159" s="2"/>
      <c r="N159" s="2"/>
      <c r="O159" s="2"/>
      <c r="P159" s="2"/>
      <c r="Q159" s="2"/>
      <c r="R159" s="2"/>
    </row>
    <row r="160" spans="1:35" x14ac:dyDescent="0.25">
      <c r="A160" s="2"/>
      <c r="B160" s="2"/>
      <c r="C160" s="2"/>
      <c r="D160" s="2"/>
      <c r="E160" s="2"/>
      <c r="F160" s="2"/>
      <c r="G160" s="2"/>
      <c r="H160" s="2"/>
      <c r="I160" s="2"/>
      <c r="J160" s="2"/>
      <c r="K160" s="2"/>
      <c r="L160" s="2"/>
      <c r="M160" s="2"/>
      <c r="N160" s="2"/>
      <c r="O160" s="2"/>
      <c r="P160" s="2"/>
      <c r="Q160" s="2"/>
      <c r="R160" s="2"/>
    </row>
    <row r="161" spans="1:18" x14ac:dyDescent="0.25">
      <c r="A161" s="2"/>
      <c r="B161" s="2"/>
      <c r="C161" s="2"/>
      <c r="D161" s="2"/>
      <c r="E161" s="2"/>
      <c r="F161" s="2"/>
      <c r="G161" s="2"/>
      <c r="H161" s="2"/>
      <c r="I161" s="2"/>
      <c r="J161" s="2"/>
      <c r="K161" s="2"/>
      <c r="L161" s="2"/>
      <c r="M161" s="2"/>
      <c r="N161" s="2"/>
      <c r="O161" s="2"/>
      <c r="P161" s="2"/>
      <c r="Q161" s="2"/>
      <c r="R161" s="2"/>
    </row>
    <row r="162" spans="1:18" x14ac:dyDescent="0.25">
      <c r="A162" s="2"/>
      <c r="B162" s="2"/>
      <c r="C162" s="2"/>
      <c r="D162" s="2"/>
      <c r="E162" s="2"/>
      <c r="F162" s="2"/>
      <c r="G162" s="2"/>
      <c r="H162" s="2"/>
      <c r="I162" s="2"/>
      <c r="J162" s="2"/>
      <c r="K162" s="2"/>
      <c r="L162" s="2"/>
      <c r="M162" s="2"/>
      <c r="N162" s="2"/>
      <c r="O162" s="2"/>
      <c r="P162" s="2"/>
      <c r="Q162" s="2"/>
      <c r="R162" s="2"/>
    </row>
    <row r="163" spans="1:18" x14ac:dyDescent="0.25">
      <c r="A163" s="2"/>
      <c r="B163" s="2"/>
      <c r="C163" s="2"/>
      <c r="D163" s="2"/>
      <c r="E163" s="2"/>
      <c r="F163" s="2"/>
      <c r="G163" s="2"/>
      <c r="H163" s="2"/>
      <c r="I163" s="2"/>
      <c r="J163" s="2"/>
      <c r="K163" s="2"/>
      <c r="L163" s="2"/>
      <c r="M163" s="2"/>
      <c r="N163" s="2"/>
      <c r="O163" s="2"/>
      <c r="P163" s="2"/>
      <c r="Q163" s="2"/>
      <c r="R163" s="2"/>
    </row>
    <row r="164" spans="1:18" x14ac:dyDescent="0.25">
      <c r="A164" s="2"/>
      <c r="B164" s="2"/>
      <c r="C164" s="2"/>
      <c r="D164" s="2"/>
      <c r="E164" s="2"/>
      <c r="F164" s="2"/>
      <c r="G164" s="2"/>
      <c r="H164" s="2"/>
      <c r="I164" s="2"/>
      <c r="J164" s="2"/>
      <c r="K164" s="2"/>
      <c r="L164" s="2"/>
      <c r="M164" s="2"/>
      <c r="N164" s="2"/>
      <c r="O164" s="2"/>
      <c r="P164" s="2"/>
      <c r="Q164" s="2"/>
      <c r="R164" s="2"/>
    </row>
    <row r="165" spans="1:18" x14ac:dyDescent="0.25">
      <c r="A165" s="2"/>
      <c r="B165" s="2"/>
      <c r="C165" s="2"/>
      <c r="D165" s="2"/>
      <c r="E165" s="2"/>
      <c r="F165" s="2"/>
      <c r="G165" s="2"/>
      <c r="H165" s="2"/>
      <c r="I165" s="2"/>
      <c r="J165" s="2"/>
      <c r="K165" s="2"/>
      <c r="L165" s="2"/>
      <c r="M165" s="2"/>
      <c r="N165" s="2"/>
      <c r="O165" s="2"/>
      <c r="P165" s="2"/>
      <c r="Q165" s="2"/>
      <c r="R165" s="2"/>
    </row>
    <row r="166" spans="1:18" x14ac:dyDescent="0.25">
      <c r="A166" s="2"/>
      <c r="B166" s="2"/>
      <c r="C166" s="2"/>
      <c r="D166" s="2"/>
      <c r="E166" s="2"/>
      <c r="F166" s="2"/>
      <c r="G166" s="2"/>
      <c r="H166" s="2"/>
      <c r="I166" s="2"/>
      <c r="J166" s="2"/>
      <c r="K166" s="2"/>
      <c r="L166" s="2"/>
      <c r="M166" s="2"/>
      <c r="N166" s="2"/>
      <c r="O166" s="2"/>
      <c r="P166" s="2"/>
      <c r="Q166" s="2"/>
      <c r="R166" s="2"/>
    </row>
    <row r="167" spans="1:18" x14ac:dyDescent="0.25">
      <c r="A167" s="2"/>
      <c r="B167" s="2"/>
      <c r="C167" s="2"/>
      <c r="D167" s="2"/>
      <c r="E167" s="2"/>
      <c r="F167" s="2"/>
      <c r="G167" s="2"/>
      <c r="H167" s="2"/>
      <c r="I167" s="2"/>
      <c r="J167" s="2"/>
      <c r="K167" s="2"/>
      <c r="L167" s="2"/>
      <c r="M167" s="2"/>
      <c r="N167" s="2"/>
      <c r="O167" s="2"/>
      <c r="P167" s="2"/>
      <c r="Q167" s="2"/>
      <c r="R167" s="2"/>
    </row>
    <row r="168" spans="1:18" x14ac:dyDescent="0.25">
      <c r="A168" s="2"/>
      <c r="B168" s="2"/>
      <c r="C168" s="2"/>
      <c r="D168" s="2"/>
      <c r="E168" s="2"/>
      <c r="F168" s="2"/>
      <c r="G168" s="2"/>
      <c r="H168" s="2"/>
      <c r="I168" s="2"/>
      <c r="J168" s="2"/>
      <c r="K168" s="2"/>
      <c r="L168" s="2"/>
      <c r="M168" s="2"/>
      <c r="N168" s="2"/>
      <c r="O168" s="2"/>
      <c r="P168" s="2"/>
      <c r="Q168" s="2"/>
      <c r="R168" s="2"/>
    </row>
    <row r="169" spans="1:18" x14ac:dyDescent="0.25">
      <c r="A169" s="2"/>
      <c r="B169" s="2"/>
      <c r="C169" s="2"/>
      <c r="D169" s="2"/>
      <c r="E169" s="2"/>
      <c r="F169" s="2"/>
      <c r="G169" s="2"/>
      <c r="H169" s="2"/>
      <c r="I169" s="2"/>
      <c r="J169" s="2"/>
      <c r="K169" s="2"/>
      <c r="L169" s="2"/>
      <c r="M169" s="2"/>
      <c r="N169" s="2"/>
      <c r="O169" s="2"/>
      <c r="P169" s="2"/>
      <c r="Q169" s="2"/>
      <c r="R169" s="2"/>
    </row>
    <row r="170" spans="1:18" x14ac:dyDescent="0.25">
      <c r="A170" s="2"/>
      <c r="B170" s="2"/>
      <c r="C170" s="2"/>
      <c r="D170" s="2"/>
      <c r="E170" s="2"/>
      <c r="F170" s="2"/>
      <c r="G170" s="2"/>
      <c r="H170" s="2"/>
      <c r="I170" s="2"/>
      <c r="J170" s="2"/>
      <c r="K170" s="2"/>
      <c r="L170" s="2"/>
      <c r="M170" s="2"/>
      <c r="N170" s="2"/>
      <c r="O170" s="2"/>
      <c r="P170" s="2"/>
      <c r="Q170" s="2"/>
      <c r="R170" s="2"/>
    </row>
    <row r="171" spans="1:18" x14ac:dyDescent="0.25">
      <c r="A171" s="2"/>
      <c r="B171" s="2"/>
      <c r="C171" s="2"/>
      <c r="D171" s="2"/>
      <c r="E171" s="2"/>
      <c r="F171" s="2"/>
      <c r="G171" s="2"/>
      <c r="H171" s="2"/>
      <c r="I171" s="2"/>
      <c r="J171" s="2"/>
      <c r="K171" s="2"/>
      <c r="L171" s="2"/>
      <c r="M171" s="2"/>
      <c r="N171" s="2"/>
      <c r="O171" s="2"/>
      <c r="P171" s="2"/>
      <c r="Q171" s="2"/>
      <c r="R171" s="2"/>
    </row>
    <row r="172" spans="1:18" x14ac:dyDescent="0.25">
      <c r="A172" s="2"/>
      <c r="B172" s="2"/>
      <c r="C172" s="2"/>
      <c r="D172" s="2"/>
      <c r="E172" s="2"/>
      <c r="F172" s="2"/>
      <c r="G172" s="2"/>
      <c r="H172" s="2"/>
      <c r="I172" s="2"/>
      <c r="J172" s="2"/>
      <c r="K172" s="2"/>
      <c r="L172" s="2"/>
      <c r="M172" s="2"/>
      <c r="N172" s="2"/>
      <c r="O172" s="2"/>
      <c r="P172" s="2"/>
      <c r="Q172" s="2"/>
      <c r="R172" s="2"/>
    </row>
    <row r="173" spans="1:18" x14ac:dyDescent="0.25">
      <c r="A173" s="2"/>
      <c r="B173" s="2"/>
      <c r="C173" s="2"/>
      <c r="D173" s="2"/>
      <c r="E173" s="2"/>
      <c r="F173" s="2"/>
      <c r="G173" s="2"/>
      <c r="H173" s="2"/>
      <c r="I173" s="2"/>
      <c r="J173" s="2"/>
      <c r="K173" s="2"/>
      <c r="L173" s="2"/>
      <c r="M173" s="2"/>
      <c r="N173" s="2"/>
      <c r="O173" s="2"/>
      <c r="P173" s="2"/>
      <c r="Q173" s="2"/>
      <c r="R173" s="2"/>
    </row>
    <row r="174" spans="1:18" x14ac:dyDescent="0.25">
      <c r="A174" s="2"/>
      <c r="B174" s="2"/>
      <c r="C174" s="2"/>
      <c r="D174" s="2"/>
      <c r="E174" s="2"/>
      <c r="F174" s="2"/>
      <c r="G174" s="2"/>
      <c r="H174" s="2"/>
      <c r="I174" s="2"/>
      <c r="J174" s="2"/>
      <c r="K174" s="2"/>
      <c r="L174" s="2"/>
      <c r="M174" s="2"/>
      <c r="N174" s="2"/>
      <c r="O174" s="2"/>
      <c r="P174" s="2"/>
      <c r="Q174" s="2"/>
      <c r="R174" s="2"/>
    </row>
    <row r="175" spans="1:18" x14ac:dyDescent="0.25">
      <c r="A175" s="2"/>
      <c r="B175" s="2"/>
      <c r="C175" s="2"/>
      <c r="D175" s="2"/>
      <c r="E175" s="2"/>
      <c r="F175" s="2"/>
      <c r="G175" s="2"/>
      <c r="H175" s="2"/>
      <c r="I175" s="2"/>
      <c r="J175" s="2"/>
      <c r="K175" s="2"/>
      <c r="L175" s="2"/>
      <c r="M175" s="2"/>
      <c r="N175" s="2"/>
      <c r="O175" s="2"/>
      <c r="P175" s="2"/>
      <c r="Q175" s="2"/>
      <c r="R175" s="2"/>
    </row>
    <row r="176" spans="1:18" x14ac:dyDescent="0.25">
      <c r="A176" s="2"/>
      <c r="B176" s="2"/>
      <c r="C176" s="2"/>
      <c r="D176" s="2"/>
      <c r="E176" s="2"/>
      <c r="F176" s="2"/>
      <c r="G176" s="2"/>
      <c r="H176" s="2"/>
      <c r="I176" s="2"/>
      <c r="J176" s="2"/>
      <c r="K176" s="2"/>
      <c r="L176" s="2"/>
      <c r="M176" s="2"/>
      <c r="N176" s="2"/>
      <c r="O176" s="2"/>
      <c r="P176" s="2"/>
      <c r="Q176" s="2"/>
      <c r="R176" s="2"/>
    </row>
    <row r="177" spans="1:18" x14ac:dyDescent="0.25">
      <c r="A177" s="2"/>
      <c r="B177" s="2"/>
      <c r="C177" s="2"/>
      <c r="D177" s="2"/>
      <c r="E177" s="2"/>
      <c r="F177" s="2"/>
      <c r="G177" s="2"/>
      <c r="H177" s="2"/>
      <c r="I177" s="2"/>
      <c r="J177" s="2"/>
      <c r="K177" s="2"/>
      <c r="L177" s="2"/>
      <c r="M177" s="2"/>
      <c r="N177" s="2"/>
      <c r="O177" s="2"/>
      <c r="P177" s="2"/>
      <c r="Q177" s="2"/>
      <c r="R177" s="2"/>
    </row>
    <row r="178" spans="1:18" x14ac:dyDescent="0.25">
      <c r="A178" s="2"/>
      <c r="B178" s="2"/>
      <c r="C178" s="2"/>
      <c r="D178" s="2"/>
      <c r="E178" s="2"/>
      <c r="F178" s="2"/>
      <c r="G178" s="2"/>
      <c r="H178" s="2"/>
      <c r="I178" s="2"/>
      <c r="J178" s="2"/>
      <c r="K178" s="2"/>
      <c r="L178" s="2"/>
      <c r="M178" s="2"/>
      <c r="N178" s="2"/>
      <c r="O178" s="2"/>
      <c r="P178" s="2"/>
      <c r="Q178" s="2"/>
      <c r="R178" s="2"/>
    </row>
    <row r="179" spans="1:18" x14ac:dyDescent="0.25">
      <c r="A179" s="2"/>
      <c r="B179" s="2"/>
      <c r="C179" s="2"/>
      <c r="D179" s="2"/>
      <c r="E179" s="2"/>
      <c r="F179" s="2"/>
      <c r="G179" s="2"/>
      <c r="H179" s="2"/>
      <c r="I179" s="2"/>
      <c r="J179" s="2"/>
      <c r="K179" s="2"/>
      <c r="L179" s="2"/>
      <c r="M179" s="2"/>
      <c r="N179" s="2"/>
      <c r="O179" s="2"/>
      <c r="P179" s="2"/>
      <c r="Q179" s="2"/>
      <c r="R179" s="2"/>
    </row>
    <row r="180" spans="1:18" x14ac:dyDescent="0.25">
      <c r="A180" s="2"/>
      <c r="B180" s="2"/>
      <c r="C180" s="2"/>
      <c r="D180" s="2"/>
      <c r="E180" s="2"/>
      <c r="F180" s="2"/>
      <c r="G180" s="2"/>
      <c r="H180" s="2"/>
      <c r="I180" s="2"/>
      <c r="J180" s="2"/>
      <c r="K180" s="2"/>
      <c r="L180" s="2"/>
      <c r="M180" s="2"/>
      <c r="N180" s="2"/>
      <c r="O180" s="2"/>
      <c r="P180" s="2"/>
      <c r="Q180" s="2"/>
      <c r="R180" s="2"/>
    </row>
    <row r="181" spans="1:18" x14ac:dyDescent="0.25">
      <c r="A181" s="2"/>
      <c r="B181" s="2"/>
      <c r="C181" s="2"/>
      <c r="D181" s="2"/>
      <c r="E181" s="2"/>
      <c r="F181" s="2"/>
      <c r="G181" s="2"/>
      <c r="H181" s="2"/>
      <c r="I181" s="2"/>
      <c r="J181" s="2"/>
      <c r="K181" s="2"/>
      <c r="L181" s="2"/>
      <c r="M181" s="2"/>
      <c r="N181" s="2"/>
      <c r="O181" s="2"/>
      <c r="P181" s="2"/>
      <c r="Q181" s="2"/>
      <c r="R181" s="2"/>
    </row>
    <row r="182" spans="1:18" x14ac:dyDescent="0.25">
      <c r="A182" s="2"/>
      <c r="B182" s="2"/>
      <c r="C182" s="2"/>
      <c r="D182" s="2"/>
      <c r="E182" s="2"/>
      <c r="F182" s="2"/>
      <c r="G182" s="2"/>
      <c r="H182" s="2"/>
      <c r="I182" s="2"/>
      <c r="J182" s="2"/>
      <c r="K182" s="2"/>
      <c r="L182" s="2"/>
      <c r="M182" s="2"/>
      <c r="N182" s="2"/>
      <c r="O182" s="2"/>
      <c r="P182" s="2"/>
      <c r="Q182" s="2"/>
      <c r="R182" s="2"/>
    </row>
    <row r="183" spans="1:18" x14ac:dyDescent="0.25">
      <c r="A183" s="2"/>
      <c r="B183" s="2"/>
      <c r="C183" s="2"/>
      <c r="D183" s="2"/>
      <c r="E183" s="2"/>
      <c r="F183" s="2"/>
      <c r="G183" s="2"/>
      <c r="H183" s="2"/>
      <c r="I183" s="2"/>
      <c r="J183" s="2"/>
      <c r="K183" s="2"/>
      <c r="L183" s="2"/>
      <c r="M183" s="2"/>
      <c r="N183" s="2"/>
      <c r="O183" s="2"/>
      <c r="P183" s="2"/>
      <c r="Q183" s="2"/>
      <c r="R183" s="2"/>
    </row>
    <row r="184" spans="1:18" x14ac:dyDescent="0.25">
      <c r="A184" s="2"/>
      <c r="B184" s="2"/>
      <c r="C184" s="2"/>
      <c r="D184" s="2"/>
      <c r="E184" s="2"/>
      <c r="F184" s="2"/>
      <c r="G184" s="2"/>
      <c r="H184" s="2"/>
      <c r="I184" s="2"/>
      <c r="J184" s="2"/>
      <c r="K184" s="2"/>
      <c r="L184" s="2"/>
      <c r="M184" s="2"/>
      <c r="N184" s="2"/>
      <c r="O184" s="2"/>
      <c r="P184" s="2"/>
      <c r="Q184" s="2"/>
      <c r="R184" s="2"/>
    </row>
    <row r="185" spans="1:18" x14ac:dyDescent="0.25">
      <c r="A185" s="2"/>
      <c r="B185" s="2"/>
      <c r="C185" s="2"/>
      <c r="D185" s="2"/>
      <c r="E185" s="2"/>
      <c r="F185" s="2"/>
      <c r="G185" s="2"/>
      <c r="H185" s="2"/>
      <c r="I185" s="2"/>
      <c r="J185" s="2"/>
      <c r="K185" s="2"/>
      <c r="L185" s="2"/>
      <c r="M185" s="2"/>
      <c r="N185" s="2"/>
      <c r="O185" s="2"/>
      <c r="P185" s="2"/>
      <c r="Q185" s="2"/>
      <c r="R185" s="2"/>
    </row>
    <row r="186" spans="1:18" x14ac:dyDescent="0.25">
      <c r="A186" s="2"/>
      <c r="B186" s="2"/>
      <c r="C186" s="2"/>
      <c r="D186" s="2"/>
      <c r="E186" s="2"/>
      <c r="F186" s="2"/>
      <c r="G186" s="2"/>
      <c r="H186" s="2"/>
      <c r="I186" s="2"/>
      <c r="J186" s="2"/>
      <c r="K186" s="2"/>
      <c r="L186" s="2"/>
      <c r="M186" s="2"/>
      <c r="N186" s="2"/>
      <c r="O186" s="2"/>
      <c r="P186" s="2"/>
      <c r="Q186" s="2"/>
      <c r="R186" s="2"/>
    </row>
    <row r="187" spans="1:18" x14ac:dyDescent="0.25">
      <c r="A187" s="2"/>
      <c r="B187" s="2"/>
      <c r="C187" s="2"/>
      <c r="D187" s="2"/>
      <c r="E187" s="2"/>
      <c r="F187" s="2"/>
      <c r="G187" s="2"/>
      <c r="H187" s="2"/>
      <c r="I187" s="2"/>
      <c r="J187" s="2"/>
      <c r="K187" s="2"/>
      <c r="L187" s="2"/>
      <c r="M187" s="2"/>
      <c r="N187" s="2"/>
      <c r="O187" s="2"/>
      <c r="P187" s="2"/>
      <c r="Q187" s="2"/>
      <c r="R187" s="2"/>
    </row>
    <row r="188" spans="1:18" x14ac:dyDescent="0.25">
      <c r="A188" s="2"/>
      <c r="B188" s="2"/>
      <c r="C188" s="2"/>
      <c r="D188" s="2"/>
      <c r="E188" s="2"/>
      <c r="F188" s="2"/>
      <c r="G188" s="2"/>
      <c r="H188" s="2"/>
      <c r="I188" s="2"/>
      <c r="J188" s="2"/>
      <c r="K188" s="2"/>
      <c r="L188" s="2"/>
      <c r="M188" s="2"/>
      <c r="N188" s="2"/>
      <c r="O188" s="2"/>
      <c r="P188" s="2"/>
      <c r="Q188" s="2"/>
      <c r="R188" s="2"/>
    </row>
    <row r="189" spans="1:18" x14ac:dyDescent="0.25">
      <c r="A189" s="2"/>
      <c r="B189" s="2"/>
      <c r="C189" s="2"/>
      <c r="D189" s="2"/>
      <c r="E189" s="2"/>
      <c r="F189" s="2"/>
      <c r="G189" s="2"/>
      <c r="H189" s="2"/>
      <c r="I189" s="2"/>
      <c r="J189" s="2"/>
      <c r="K189" s="2"/>
      <c r="L189" s="2"/>
      <c r="M189" s="2"/>
      <c r="N189" s="2"/>
      <c r="O189" s="2"/>
      <c r="P189" s="2"/>
      <c r="Q189" s="2"/>
      <c r="R189" s="2"/>
    </row>
    <row r="190" spans="1:18" x14ac:dyDescent="0.25">
      <c r="A190" s="2"/>
      <c r="B190" s="2"/>
      <c r="C190" s="2"/>
      <c r="D190" s="2"/>
      <c r="E190" s="2"/>
      <c r="F190" s="2"/>
      <c r="G190" s="2"/>
      <c r="H190" s="2"/>
      <c r="I190" s="2"/>
      <c r="J190" s="2"/>
      <c r="K190" s="2"/>
      <c r="L190" s="2"/>
      <c r="M190" s="2"/>
      <c r="N190" s="2"/>
      <c r="O190" s="2"/>
      <c r="P190" s="2"/>
      <c r="Q190" s="2"/>
      <c r="R190" s="2"/>
    </row>
    <row r="191" spans="1:18" x14ac:dyDescent="0.25">
      <c r="A191" s="2"/>
      <c r="B191" s="2"/>
      <c r="C191" s="2"/>
      <c r="D191" s="2"/>
      <c r="E191" s="2"/>
      <c r="F191" s="2"/>
      <c r="G191" s="2"/>
      <c r="H191" s="2"/>
      <c r="I191" s="2"/>
      <c r="J191" s="2"/>
      <c r="K191" s="2"/>
      <c r="L191" s="2"/>
      <c r="M191" s="2"/>
      <c r="N191" s="2"/>
      <c r="O191" s="2"/>
      <c r="P191" s="2"/>
      <c r="Q191" s="2"/>
      <c r="R191" s="2"/>
    </row>
    <row r="192" spans="1:18" x14ac:dyDescent="0.25">
      <c r="A192" s="2"/>
      <c r="B192" s="2"/>
      <c r="C192" s="2"/>
      <c r="D192" s="2"/>
      <c r="E192" s="2"/>
      <c r="F192" s="2"/>
      <c r="G192" s="2"/>
      <c r="H192" s="2"/>
      <c r="I192" s="2"/>
      <c r="J192" s="2"/>
      <c r="K192" s="2"/>
      <c r="L192" s="2"/>
      <c r="M192" s="2"/>
      <c r="N192" s="2"/>
      <c r="O192" s="2"/>
      <c r="P192" s="2"/>
      <c r="Q192" s="2"/>
      <c r="R192" s="2"/>
    </row>
    <row r="193" spans="1:18" x14ac:dyDescent="0.25">
      <c r="A193" s="2"/>
      <c r="B193" s="2"/>
      <c r="C193" s="2"/>
      <c r="D193" s="2"/>
      <c r="E193" s="2"/>
      <c r="F193" s="2"/>
      <c r="G193" s="2"/>
      <c r="H193" s="2"/>
      <c r="I193" s="2"/>
      <c r="J193" s="2"/>
      <c r="K193" s="2"/>
      <c r="L193" s="2"/>
      <c r="M193" s="2"/>
      <c r="N193" s="2"/>
      <c r="O193" s="2"/>
      <c r="P193" s="2"/>
      <c r="Q193" s="2"/>
      <c r="R193" s="2"/>
    </row>
    <row r="194" spans="1:18" x14ac:dyDescent="0.25">
      <c r="A194" s="2"/>
      <c r="B194" s="2"/>
      <c r="C194" s="2"/>
      <c r="D194" s="2"/>
      <c r="E194" s="2"/>
      <c r="F194" s="2"/>
      <c r="G194" s="2"/>
      <c r="H194" s="2"/>
      <c r="I194" s="2"/>
      <c r="J194" s="2"/>
      <c r="K194" s="2"/>
      <c r="L194" s="2"/>
      <c r="M194" s="2"/>
      <c r="N194" s="2"/>
      <c r="O194" s="2"/>
      <c r="P194" s="2"/>
      <c r="Q194" s="2"/>
      <c r="R194" s="2"/>
    </row>
    <row r="195" spans="1:18" x14ac:dyDescent="0.25">
      <c r="A195" s="2"/>
      <c r="B195" s="2"/>
      <c r="C195" s="2"/>
      <c r="D195" s="2"/>
      <c r="E195" s="2"/>
      <c r="F195" s="2"/>
      <c r="G195" s="2"/>
      <c r="H195" s="2"/>
      <c r="I195" s="2"/>
      <c r="J195" s="2"/>
      <c r="K195" s="2"/>
      <c r="L195" s="2"/>
      <c r="M195" s="2"/>
      <c r="N195" s="2"/>
      <c r="O195" s="2"/>
      <c r="P195" s="2"/>
      <c r="Q195" s="2"/>
      <c r="R195" s="2"/>
    </row>
    <row r="196" spans="1:18" x14ac:dyDescent="0.25">
      <c r="A196" s="2"/>
      <c r="B196" s="2"/>
      <c r="C196" s="2"/>
      <c r="D196" s="2"/>
      <c r="E196" s="2"/>
      <c r="F196" s="2"/>
      <c r="G196" s="2"/>
      <c r="H196" s="2"/>
      <c r="I196" s="2"/>
      <c r="J196" s="2"/>
      <c r="K196" s="2"/>
      <c r="L196" s="2"/>
      <c r="M196" s="2"/>
      <c r="N196" s="2"/>
      <c r="O196" s="2"/>
      <c r="P196" s="2"/>
      <c r="Q196" s="2"/>
      <c r="R196" s="2"/>
    </row>
    <row r="197" spans="1:18" x14ac:dyDescent="0.25">
      <c r="A197" s="2"/>
      <c r="B197" s="2"/>
      <c r="C197" s="2"/>
      <c r="D197" s="2"/>
      <c r="E197" s="2"/>
      <c r="F197" s="2"/>
      <c r="G197" s="2"/>
      <c r="H197" s="2"/>
      <c r="I197" s="2"/>
      <c r="J197" s="2"/>
      <c r="K197" s="2"/>
      <c r="L197" s="2"/>
      <c r="M197" s="2"/>
      <c r="N197" s="2"/>
      <c r="O197" s="2"/>
      <c r="P197" s="2"/>
      <c r="Q197" s="2"/>
      <c r="R197" s="2"/>
    </row>
    <row r="198" spans="1:18" x14ac:dyDescent="0.25">
      <c r="A198" s="2"/>
      <c r="B198" s="2"/>
      <c r="C198" s="2"/>
      <c r="D198" s="2"/>
      <c r="E198" s="2"/>
      <c r="F198" s="2"/>
      <c r="G198" s="2"/>
      <c r="H198" s="2"/>
      <c r="I198" s="2"/>
      <c r="J198" s="2"/>
      <c r="K198" s="2"/>
      <c r="L198" s="2"/>
      <c r="M198" s="2"/>
      <c r="N198" s="2"/>
      <c r="O198" s="2"/>
      <c r="P198" s="2"/>
      <c r="Q198" s="2"/>
      <c r="R198" s="2"/>
    </row>
    <row r="199" spans="1:18" x14ac:dyDescent="0.25">
      <c r="A199" s="2"/>
      <c r="B199" s="2"/>
      <c r="C199" s="2"/>
      <c r="D199" s="2"/>
      <c r="E199" s="2"/>
      <c r="F199" s="2"/>
      <c r="G199" s="2"/>
      <c r="H199" s="2"/>
      <c r="I199" s="2"/>
      <c r="J199" s="2"/>
      <c r="K199" s="2"/>
      <c r="L199" s="2"/>
      <c r="M199" s="2"/>
      <c r="N199" s="2"/>
      <c r="O199" s="2"/>
      <c r="P199" s="2"/>
      <c r="Q199" s="2"/>
      <c r="R199" s="2"/>
    </row>
    <row r="200" spans="1:18" x14ac:dyDescent="0.25">
      <c r="A200" s="2"/>
      <c r="B200" s="2"/>
      <c r="C200" s="2"/>
      <c r="D200" s="2"/>
      <c r="E200" s="2"/>
      <c r="F200" s="2"/>
      <c r="G200" s="2"/>
      <c r="H200" s="2"/>
      <c r="I200" s="2"/>
      <c r="J200" s="2"/>
      <c r="K200" s="2"/>
      <c r="L200" s="2"/>
      <c r="M200" s="2"/>
      <c r="N200" s="2"/>
      <c r="O200" s="2"/>
      <c r="P200" s="2"/>
      <c r="Q200" s="2"/>
      <c r="R200" s="2"/>
    </row>
    <row r="201" spans="1:18" x14ac:dyDescent="0.25">
      <c r="A201" s="2"/>
      <c r="B201" s="2"/>
      <c r="C201" s="2"/>
      <c r="D201" s="2"/>
      <c r="E201" s="2"/>
      <c r="F201" s="2"/>
      <c r="G201" s="2"/>
      <c r="H201" s="2"/>
      <c r="I201" s="2"/>
      <c r="J201" s="2"/>
      <c r="K201" s="2"/>
      <c r="L201" s="2"/>
      <c r="M201" s="2"/>
      <c r="N201" s="2"/>
      <c r="O201" s="2"/>
      <c r="P201" s="2"/>
      <c r="Q201" s="2"/>
      <c r="R201" s="2"/>
    </row>
    <row r="202" spans="1:18" x14ac:dyDescent="0.25">
      <c r="A202" s="2"/>
      <c r="B202" s="2"/>
      <c r="C202" s="2"/>
      <c r="D202" s="2"/>
      <c r="E202" s="2"/>
      <c r="F202" s="2"/>
      <c r="G202" s="2"/>
      <c r="H202" s="2"/>
      <c r="I202" s="2"/>
      <c r="J202" s="2"/>
      <c r="K202" s="2"/>
      <c r="L202" s="2"/>
      <c r="M202" s="2"/>
      <c r="N202" s="2"/>
      <c r="O202" s="2"/>
      <c r="P202" s="2"/>
      <c r="Q202" s="2"/>
      <c r="R202" s="2"/>
    </row>
    <row r="203" spans="1:18" x14ac:dyDescent="0.25">
      <c r="A203" s="2"/>
      <c r="B203" s="2"/>
      <c r="C203" s="2"/>
      <c r="D203" s="2"/>
      <c r="E203" s="2"/>
      <c r="F203" s="2"/>
      <c r="G203" s="2"/>
      <c r="H203" s="2"/>
      <c r="I203" s="2"/>
      <c r="J203" s="2"/>
      <c r="K203" s="2"/>
      <c r="L203" s="2"/>
      <c r="M203" s="2"/>
      <c r="N203" s="2"/>
      <c r="O203" s="2"/>
      <c r="P203" s="2"/>
      <c r="Q203" s="2"/>
      <c r="R203" s="2"/>
    </row>
    <row r="204" spans="1:18" x14ac:dyDescent="0.25">
      <c r="A204" s="2"/>
      <c r="B204" s="2"/>
      <c r="C204" s="2"/>
      <c r="D204" s="2"/>
      <c r="E204" s="2"/>
      <c r="F204" s="2"/>
      <c r="G204" s="2"/>
      <c r="H204" s="2"/>
      <c r="I204" s="2"/>
      <c r="J204" s="2"/>
      <c r="K204" s="2"/>
      <c r="L204" s="2"/>
      <c r="M204" s="2"/>
      <c r="N204" s="2"/>
      <c r="O204" s="2"/>
      <c r="P204" s="2"/>
      <c r="Q204" s="2"/>
      <c r="R204" s="2"/>
    </row>
    <row r="205" spans="1:18" x14ac:dyDescent="0.25">
      <c r="A205" s="2"/>
      <c r="B205" s="2"/>
      <c r="C205" s="2"/>
      <c r="D205" s="2"/>
      <c r="E205" s="2"/>
      <c r="F205" s="2"/>
      <c r="G205" s="2"/>
      <c r="H205" s="2"/>
      <c r="I205" s="2"/>
      <c r="J205" s="2"/>
      <c r="K205" s="2"/>
      <c r="L205" s="2"/>
      <c r="M205" s="2"/>
      <c r="N205" s="2"/>
      <c r="O205" s="2"/>
      <c r="P205" s="2"/>
      <c r="Q205" s="2"/>
      <c r="R205" s="2"/>
    </row>
    <row r="206" spans="1:18" x14ac:dyDescent="0.25">
      <c r="A206" s="2"/>
      <c r="B206" s="2"/>
      <c r="C206" s="2"/>
      <c r="D206" s="2"/>
      <c r="E206" s="2"/>
      <c r="F206" s="2"/>
      <c r="G206" s="2"/>
      <c r="H206" s="2"/>
      <c r="I206" s="2"/>
      <c r="J206" s="2"/>
      <c r="K206" s="2"/>
      <c r="L206" s="2"/>
      <c r="M206" s="2"/>
      <c r="N206" s="2"/>
      <c r="O206" s="2"/>
      <c r="P206" s="2"/>
      <c r="Q206" s="2"/>
      <c r="R206" s="2"/>
    </row>
    <row r="207" spans="1:18" x14ac:dyDescent="0.25">
      <c r="A207" s="2"/>
      <c r="B207" s="2"/>
      <c r="C207" s="2"/>
      <c r="D207" s="2"/>
      <c r="E207" s="2"/>
      <c r="F207" s="2"/>
      <c r="G207" s="2"/>
      <c r="H207" s="2"/>
      <c r="I207" s="2"/>
      <c r="J207" s="2"/>
      <c r="K207" s="2"/>
      <c r="L207" s="2"/>
      <c r="M207" s="2"/>
      <c r="N207" s="2"/>
      <c r="O207" s="2"/>
      <c r="P207" s="2"/>
      <c r="Q207" s="2"/>
      <c r="R207" s="2"/>
    </row>
    <row r="208" spans="1:18" x14ac:dyDescent="0.25">
      <c r="A208" s="2"/>
      <c r="B208" s="2"/>
      <c r="C208" s="2"/>
      <c r="D208" s="2"/>
      <c r="E208" s="2"/>
      <c r="F208" s="2"/>
      <c r="G208" s="2"/>
      <c r="H208" s="2"/>
      <c r="I208" s="2"/>
      <c r="J208" s="2"/>
      <c r="K208" s="2"/>
      <c r="L208" s="2"/>
      <c r="M208" s="2"/>
      <c r="N208" s="2"/>
      <c r="O208" s="2"/>
      <c r="P208" s="2"/>
      <c r="Q208" s="2"/>
      <c r="R208" s="2"/>
    </row>
    <row r="209" spans="1:18" x14ac:dyDescent="0.25">
      <c r="A209" s="2"/>
      <c r="B209" s="2"/>
      <c r="C209" s="2"/>
      <c r="D209" s="2"/>
      <c r="E209" s="2"/>
      <c r="F209" s="2"/>
      <c r="G209" s="2"/>
      <c r="H209" s="2"/>
      <c r="I209" s="2"/>
      <c r="J209" s="2"/>
      <c r="K209" s="2"/>
      <c r="L209" s="2"/>
      <c r="M209" s="2"/>
      <c r="N209" s="2"/>
      <c r="O209" s="2"/>
      <c r="P209" s="2"/>
      <c r="Q209" s="2"/>
      <c r="R209" s="2"/>
    </row>
    <row r="210" spans="1:18" x14ac:dyDescent="0.25">
      <c r="A210" s="2"/>
      <c r="B210" s="2"/>
      <c r="C210" s="2"/>
      <c r="D210" s="2"/>
      <c r="E210" s="2"/>
      <c r="F210" s="2"/>
      <c r="G210" s="2"/>
      <c r="H210" s="2"/>
      <c r="I210" s="2"/>
      <c r="J210" s="2"/>
      <c r="K210" s="2"/>
      <c r="L210" s="2"/>
      <c r="M210" s="2"/>
      <c r="N210" s="2"/>
      <c r="O210" s="2"/>
      <c r="P210" s="2"/>
      <c r="Q210" s="2"/>
      <c r="R210" s="2"/>
    </row>
    <row r="211" spans="1:18" x14ac:dyDescent="0.25">
      <c r="A211" s="2"/>
      <c r="B211" s="2"/>
      <c r="C211" s="2"/>
      <c r="D211" s="2"/>
      <c r="E211" s="2"/>
      <c r="F211" s="2"/>
      <c r="G211" s="2"/>
      <c r="H211" s="2"/>
      <c r="I211" s="2"/>
      <c r="J211" s="2"/>
      <c r="K211" s="2"/>
      <c r="L211" s="2"/>
      <c r="M211" s="2"/>
      <c r="N211" s="2"/>
      <c r="O211" s="2"/>
      <c r="P211" s="2"/>
      <c r="Q211" s="2"/>
      <c r="R211" s="2"/>
    </row>
    <row r="212" spans="1:18" x14ac:dyDescent="0.25">
      <c r="A212" s="2"/>
      <c r="B212" s="2"/>
      <c r="C212" s="2"/>
      <c r="D212" s="2"/>
      <c r="E212" s="2"/>
      <c r="F212" s="2"/>
      <c r="G212" s="2"/>
      <c r="H212" s="2"/>
      <c r="I212" s="2"/>
      <c r="J212" s="2"/>
      <c r="K212" s="2"/>
      <c r="L212" s="2"/>
      <c r="M212" s="2"/>
      <c r="N212" s="2"/>
      <c r="O212" s="2"/>
      <c r="P212" s="2"/>
      <c r="Q212" s="2"/>
      <c r="R212" s="2"/>
    </row>
    <row r="213" spans="1:18" x14ac:dyDescent="0.25">
      <c r="A213" s="2"/>
      <c r="B213" s="2"/>
      <c r="C213" s="2"/>
      <c r="D213" s="2"/>
      <c r="E213" s="2"/>
      <c r="F213" s="2"/>
      <c r="G213" s="2"/>
      <c r="H213" s="2"/>
      <c r="I213" s="2"/>
      <c r="J213" s="2"/>
      <c r="K213" s="2"/>
      <c r="L213" s="2"/>
      <c r="M213" s="2"/>
      <c r="N213" s="2"/>
      <c r="O213" s="2"/>
      <c r="P213" s="2"/>
      <c r="Q213" s="2"/>
      <c r="R213" s="2"/>
    </row>
    <row r="214" spans="1:18" x14ac:dyDescent="0.25">
      <c r="A214" s="2"/>
      <c r="B214" s="2"/>
      <c r="C214" s="2"/>
      <c r="D214" s="2"/>
      <c r="E214" s="2"/>
      <c r="F214" s="2"/>
      <c r="G214" s="2"/>
      <c r="H214" s="2"/>
      <c r="I214" s="2"/>
      <c r="J214" s="2"/>
      <c r="K214" s="2"/>
      <c r="L214" s="2"/>
      <c r="M214" s="2"/>
      <c r="N214" s="2"/>
      <c r="O214" s="2"/>
      <c r="P214" s="2"/>
      <c r="Q214" s="2"/>
      <c r="R214" s="2"/>
    </row>
    <row r="215" spans="1:18" x14ac:dyDescent="0.25">
      <c r="A215" s="2"/>
      <c r="B215" s="2"/>
      <c r="C215" s="2"/>
      <c r="D215" s="2"/>
      <c r="E215" s="2"/>
      <c r="F215" s="2"/>
      <c r="G215" s="2"/>
      <c r="H215" s="2"/>
      <c r="I215" s="2"/>
      <c r="J215" s="2"/>
      <c r="K215" s="2"/>
      <c r="L215" s="2"/>
      <c r="M215" s="2"/>
      <c r="N215" s="2"/>
      <c r="O215" s="2"/>
      <c r="P215" s="2"/>
      <c r="Q215" s="2"/>
      <c r="R215" s="2"/>
    </row>
    <row r="216" spans="1:18" x14ac:dyDescent="0.25">
      <c r="A216" s="2"/>
      <c r="B216" s="2"/>
      <c r="C216" s="2"/>
      <c r="D216" s="2"/>
      <c r="E216" s="2"/>
      <c r="F216" s="2"/>
      <c r="G216" s="2"/>
      <c r="H216" s="2"/>
      <c r="I216" s="2"/>
      <c r="J216" s="2"/>
      <c r="K216" s="2"/>
      <c r="L216" s="2"/>
      <c r="M216" s="2"/>
      <c r="N216" s="2"/>
      <c r="O216" s="2"/>
      <c r="P216" s="2"/>
      <c r="Q216" s="2"/>
      <c r="R216" s="2"/>
    </row>
    <row r="217" spans="1:18" x14ac:dyDescent="0.25">
      <c r="A217" s="2"/>
      <c r="B217" s="2"/>
      <c r="C217" s="2"/>
      <c r="D217" s="2"/>
      <c r="E217" s="2"/>
      <c r="F217" s="2"/>
      <c r="G217" s="2"/>
      <c r="H217" s="2"/>
      <c r="I217" s="2"/>
      <c r="J217" s="2"/>
      <c r="K217" s="2"/>
      <c r="L217" s="2"/>
      <c r="M217" s="2"/>
      <c r="N217" s="2"/>
      <c r="O217" s="2"/>
      <c r="P217" s="2"/>
      <c r="Q217" s="2"/>
      <c r="R217" s="2"/>
    </row>
    <row r="218" spans="1:18" x14ac:dyDescent="0.25">
      <c r="A218" s="2"/>
      <c r="B218" s="2"/>
      <c r="C218" s="2"/>
      <c r="D218" s="2"/>
      <c r="E218" s="2"/>
      <c r="F218" s="2"/>
      <c r="G218" s="2"/>
      <c r="H218" s="2"/>
      <c r="I218" s="2"/>
      <c r="J218" s="2"/>
      <c r="K218" s="2"/>
      <c r="L218" s="2"/>
      <c r="M218" s="2"/>
      <c r="N218" s="2"/>
      <c r="O218" s="2"/>
      <c r="P218" s="2"/>
      <c r="Q218" s="2"/>
      <c r="R218" s="2"/>
    </row>
    <row r="219" spans="1:18" x14ac:dyDescent="0.25">
      <c r="A219" s="2"/>
      <c r="B219" s="2"/>
      <c r="C219" s="2"/>
      <c r="D219" s="2"/>
      <c r="E219" s="2"/>
      <c r="F219" s="2"/>
      <c r="G219" s="2"/>
      <c r="H219" s="2"/>
      <c r="I219" s="2"/>
      <c r="J219" s="2"/>
      <c r="K219" s="2"/>
      <c r="L219" s="2"/>
      <c r="M219" s="2"/>
      <c r="N219" s="2"/>
      <c r="O219" s="2"/>
      <c r="P219" s="2"/>
      <c r="Q219" s="2"/>
      <c r="R219" s="2"/>
    </row>
    <row r="220" spans="1:18" x14ac:dyDescent="0.25">
      <c r="A220" s="2"/>
      <c r="B220" s="2"/>
      <c r="C220" s="2"/>
      <c r="D220" s="2"/>
      <c r="E220" s="2"/>
      <c r="F220" s="2"/>
      <c r="G220" s="2"/>
      <c r="H220" s="2"/>
      <c r="I220" s="2"/>
      <c r="J220" s="2"/>
      <c r="K220" s="2"/>
      <c r="L220" s="2"/>
      <c r="M220" s="2"/>
      <c r="N220" s="2"/>
      <c r="O220" s="2"/>
      <c r="P220" s="2"/>
      <c r="Q220" s="2"/>
      <c r="R220" s="2"/>
    </row>
    <row r="221" spans="1:18" x14ac:dyDescent="0.25">
      <c r="A221" s="2"/>
      <c r="B221" s="2"/>
      <c r="C221" s="2"/>
      <c r="D221" s="2"/>
      <c r="E221" s="2"/>
      <c r="F221" s="2"/>
      <c r="G221" s="2"/>
      <c r="H221" s="2"/>
      <c r="I221" s="2"/>
      <c r="J221" s="2"/>
      <c r="K221" s="2"/>
      <c r="L221" s="2"/>
      <c r="M221" s="2"/>
      <c r="N221" s="2"/>
      <c r="O221" s="2"/>
      <c r="P221" s="2"/>
      <c r="Q221" s="2"/>
      <c r="R221" s="2"/>
    </row>
    <row r="222" spans="1:18" x14ac:dyDescent="0.25">
      <c r="A222" s="2"/>
      <c r="B222" s="2"/>
      <c r="C222" s="2"/>
      <c r="D222" s="2"/>
      <c r="E222" s="2"/>
      <c r="F222" s="2"/>
      <c r="G222" s="2"/>
      <c r="H222" s="2"/>
      <c r="I222" s="2"/>
      <c r="J222" s="2"/>
      <c r="K222" s="2"/>
      <c r="L222" s="2"/>
      <c r="M222" s="2"/>
      <c r="N222" s="2"/>
      <c r="O222" s="2"/>
      <c r="P222" s="2"/>
      <c r="Q222" s="2"/>
      <c r="R222" s="2"/>
    </row>
    <row r="223" spans="1:18" x14ac:dyDescent="0.25">
      <c r="A223" s="2"/>
      <c r="B223" s="2"/>
      <c r="C223" s="2"/>
      <c r="D223" s="2"/>
      <c r="E223" s="2"/>
      <c r="F223" s="2"/>
      <c r="G223" s="2"/>
      <c r="H223" s="2"/>
      <c r="I223" s="2"/>
      <c r="J223" s="2"/>
      <c r="K223" s="2"/>
      <c r="L223" s="2"/>
      <c r="M223" s="2"/>
      <c r="N223" s="2"/>
      <c r="O223" s="2"/>
      <c r="P223" s="2"/>
      <c r="Q223" s="2"/>
      <c r="R223" s="2"/>
    </row>
    <row r="224" spans="1:18" x14ac:dyDescent="0.25">
      <c r="A224" s="2"/>
      <c r="B224" s="2"/>
      <c r="C224" s="2"/>
      <c r="D224" s="2"/>
      <c r="E224" s="2"/>
      <c r="F224" s="2"/>
      <c r="G224" s="2"/>
      <c r="H224" s="2"/>
      <c r="I224" s="2"/>
      <c r="J224" s="2"/>
      <c r="K224" s="2"/>
      <c r="L224" s="2"/>
      <c r="M224" s="2"/>
      <c r="N224" s="2"/>
      <c r="O224" s="2"/>
      <c r="P224" s="2"/>
      <c r="Q224" s="2"/>
      <c r="R224" s="2"/>
    </row>
    <row r="225" spans="1:18" x14ac:dyDescent="0.25">
      <c r="A225" s="2"/>
      <c r="B225" s="2"/>
      <c r="C225" s="2"/>
      <c r="D225" s="2"/>
      <c r="E225" s="2"/>
      <c r="F225" s="2"/>
      <c r="G225" s="2"/>
      <c r="H225" s="2"/>
      <c r="I225" s="2"/>
      <c r="J225" s="2"/>
      <c r="K225" s="2"/>
      <c r="L225" s="2"/>
      <c r="M225" s="2"/>
      <c r="N225" s="2"/>
      <c r="O225" s="2"/>
      <c r="P225" s="2"/>
      <c r="Q225" s="2"/>
      <c r="R225" s="2"/>
    </row>
    <row r="226" spans="1:18" x14ac:dyDescent="0.25">
      <c r="A226" s="2"/>
      <c r="B226" s="2"/>
      <c r="C226" s="2"/>
      <c r="D226" s="2"/>
      <c r="E226" s="2"/>
      <c r="F226" s="2"/>
      <c r="G226" s="2"/>
      <c r="H226" s="2"/>
      <c r="I226" s="2"/>
      <c r="J226" s="2"/>
      <c r="K226" s="2"/>
      <c r="L226" s="2"/>
      <c r="M226" s="2"/>
      <c r="N226" s="2"/>
      <c r="O226" s="2"/>
      <c r="P226" s="2"/>
      <c r="Q226" s="2"/>
      <c r="R226" s="2"/>
    </row>
    <row r="227" spans="1:18" x14ac:dyDescent="0.25">
      <c r="A227" s="2"/>
      <c r="B227" s="2"/>
      <c r="C227" s="2"/>
      <c r="D227" s="2"/>
      <c r="E227" s="2"/>
      <c r="F227" s="2"/>
      <c r="G227" s="2"/>
      <c r="H227" s="2"/>
      <c r="I227" s="2"/>
      <c r="J227" s="2"/>
      <c r="K227" s="2"/>
      <c r="L227" s="2"/>
      <c r="M227" s="2"/>
      <c r="N227" s="2"/>
      <c r="O227" s="2"/>
      <c r="P227" s="2"/>
      <c r="Q227" s="2"/>
      <c r="R227" s="2"/>
    </row>
    <row r="228" spans="1:18" x14ac:dyDescent="0.25">
      <c r="A228" s="2"/>
      <c r="B228" s="2"/>
      <c r="C228" s="2"/>
      <c r="D228" s="2"/>
      <c r="E228" s="2"/>
      <c r="F228" s="2"/>
      <c r="G228" s="2"/>
      <c r="H228" s="2"/>
      <c r="I228" s="2"/>
      <c r="J228" s="2"/>
      <c r="K228" s="2"/>
      <c r="L228" s="2"/>
      <c r="M228" s="2"/>
      <c r="N228" s="2"/>
      <c r="O228" s="2"/>
      <c r="P228" s="2"/>
      <c r="Q228" s="2"/>
      <c r="R228" s="2"/>
    </row>
    <row r="229" spans="1:18" x14ac:dyDescent="0.25">
      <c r="A229" s="2"/>
      <c r="B229" s="2"/>
      <c r="C229" s="2"/>
      <c r="D229" s="2"/>
      <c r="E229" s="2"/>
      <c r="F229" s="2"/>
      <c r="G229" s="2"/>
      <c r="H229" s="2"/>
      <c r="I229" s="2"/>
      <c r="J229" s="2"/>
      <c r="K229" s="2"/>
      <c r="L229" s="2"/>
      <c r="M229" s="2"/>
      <c r="N229" s="2"/>
      <c r="O229" s="2"/>
      <c r="P229" s="2"/>
      <c r="Q229" s="2"/>
      <c r="R229" s="2"/>
    </row>
    <row r="230" spans="1:18" x14ac:dyDescent="0.25">
      <c r="A230" s="2"/>
      <c r="B230" s="2"/>
      <c r="C230" s="2"/>
      <c r="D230" s="2"/>
      <c r="E230" s="2"/>
      <c r="F230" s="2"/>
      <c r="G230" s="2"/>
      <c r="H230" s="2"/>
      <c r="I230" s="2"/>
      <c r="J230" s="2"/>
      <c r="K230" s="2"/>
      <c r="L230" s="2"/>
      <c r="M230" s="2"/>
      <c r="N230" s="2"/>
      <c r="O230" s="2"/>
      <c r="P230" s="2"/>
      <c r="Q230" s="2"/>
      <c r="R230" s="2"/>
    </row>
    <row r="231" spans="1:18" x14ac:dyDescent="0.25">
      <c r="A231" s="2"/>
      <c r="B231" s="2"/>
      <c r="C231" s="2"/>
      <c r="D231" s="2"/>
      <c r="E231" s="2"/>
      <c r="F231" s="2"/>
      <c r="G231" s="2"/>
      <c r="H231" s="2"/>
      <c r="I231" s="2"/>
      <c r="J231" s="2"/>
      <c r="K231" s="2"/>
      <c r="L231" s="2"/>
      <c r="M231" s="2"/>
      <c r="N231" s="2"/>
      <c r="O231" s="2"/>
      <c r="P231" s="2"/>
      <c r="Q231" s="2"/>
      <c r="R231" s="2"/>
    </row>
    <row r="232" spans="1:18" x14ac:dyDescent="0.25">
      <c r="A232" s="2"/>
      <c r="B232" s="2"/>
      <c r="C232" s="2"/>
      <c r="D232" s="2"/>
      <c r="E232" s="2"/>
      <c r="F232" s="2"/>
      <c r="G232" s="2"/>
      <c r="H232" s="2"/>
      <c r="I232" s="2"/>
      <c r="J232" s="2"/>
      <c r="K232" s="2"/>
      <c r="L232" s="2"/>
      <c r="M232" s="2"/>
      <c r="N232" s="2"/>
      <c r="O232" s="2"/>
      <c r="P232" s="2"/>
      <c r="Q232" s="2"/>
      <c r="R232" s="2"/>
    </row>
    <row r="233" spans="1:18" x14ac:dyDescent="0.25">
      <c r="A233" s="2"/>
      <c r="B233" s="2"/>
      <c r="C233" s="2"/>
      <c r="D233" s="2"/>
      <c r="E233" s="2"/>
      <c r="F233" s="2"/>
      <c r="G233" s="2"/>
      <c r="H233" s="2"/>
      <c r="I233" s="2"/>
      <c r="J233" s="2"/>
      <c r="K233" s="2"/>
      <c r="L233" s="2"/>
      <c r="M233" s="2"/>
      <c r="N233" s="2"/>
      <c r="O233" s="2"/>
      <c r="P233" s="2"/>
      <c r="Q233" s="2"/>
      <c r="R233" s="2"/>
    </row>
    <row r="234" spans="1:18" x14ac:dyDescent="0.25">
      <c r="A234" s="2"/>
      <c r="B234" s="2"/>
      <c r="C234" s="2"/>
      <c r="D234" s="2"/>
      <c r="E234" s="2"/>
      <c r="F234" s="2"/>
      <c r="G234" s="2"/>
      <c r="H234" s="2"/>
      <c r="I234" s="2"/>
      <c r="J234" s="2"/>
      <c r="K234" s="2"/>
      <c r="L234" s="2"/>
      <c r="M234" s="2"/>
      <c r="N234" s="2"/>
      <c r="O234" s="2"/>
      <c r="P234" s="2"/>
      <c r="Q234" s="2"/>
      <c r="R234" s="2"/>
    </row>
    <row r="235" spans="1:18" x14ac:dyDescent="0.25">
      <c r="A235" s="2"/>
      <c r="B235" s="2"/>
      <c r="C235" s="2"/>
      <c r="D235" s="2"/>
      <c r="E235" s="2"/>
      <c r="F235" s="2"/>
      <c r="G235" s="2"/>
      <c r="H235" s="2"/>
      <c r="I235" s="2"/>
      <c r="J235" s="2"/>
      <c r="K235" s="2"/>
      <c r="L235" s="2"/>
      <c r="M235" s="2"/>
      <c r="N235" s="2"/>
      <c r="O235" s="2"/>
      <c r="P235" s="2"/>
      <c r="Q235" s="2"/>
      <c r="R235" s="2"/>
    </row>
    <row r="236" spans="1:18" x14ac:dyDescent="0.25">
      <c r="A236" s="2"/>
      <c r="B236" s="2"/>
      <c r="C236" s="2"/>
      <c r="D236" s="2"/>
      <c r="E236" s="2"/>
      <c r="F236" s="2"/>
      <c r="G236" s="2"/>
      <c r="H236" s="2"/>
      <c r="I236" s="2"/>
      <c r="J236" s="2"/>
      <c r="K236" s="2"/>
      <c r="L236" s="2"/>
      <c r="M236" s="2"/>
      <c r="N236" s="2"/>
      <c r="O236" s="2"/>
      <c r="P236" s="2"/>
      <c r="Q236" s="2"/>
      <c r="R236" s="2"/>
    </row>
    <row r="237" spans="1:18" x14ac:dyDescent="0.25">
      <c r="A237" s="2"/>
      <c r="B237" s="2"/>
      <c r="C237" s="2"/>
      <c r="D237" s="2"/>
      <c r="E237" s="2"/>
      <c r="F237" s="2"/>
      <c r="G237" s="2"/>
      <c r="H237" s="2"/>
      <c r="I237" s="2"/>
      <c r="J237" s="2"/>
      <c r="K237" s="2"/>
      <c r="L237" s="2"/>
      <c r="M237" s="2"/>
      <c r="N237" s="2"/>
      <c r="O237" s="2"/>
      <c r="P237" s="2"/>
      <c r="Q237" s="2"/>
      <c r="R237" s="2"/>
    </row>
    <row r="238" spans="1:18" x14ac:dyDescent="0.25">
      <c r="A238" s="2"/>
      <c r="B238" s="2"/>
      <c r="C238" s="2"/>
      <c r="D238" s="2"/>
      <c r="E238" s="2"/>
      <c r="F238" s="2"/>
      <c r="G238" s="2"/>
      <c r="H238" s="2"/>
      <c r="I238" s="2"/>
      <c r="J238" s="2"/>
      <c r="K238" s="2"/>
      <c r="L238" s="2"/>
      <c r="M238" s="2"/>
      <c r="N238" s="2"/>
      <c r="O238" s="2"/>
      <c r="P238" s="2"/>
      <c r="Q238" s="2"/>
      <c r="R238" s="2"/>
    </row>
    <row r="239" spans="1:18" x14ac:dyDescent="0.25">
      <c r="A239" s="2"/>
      <c r="B239" s="2"/>
      <c r="C239" s="2"/>
      <c r="D239" s="2"/>
      <c r="E239" s="2"/>
      <c r="F239" s="2"/>
      <c r="G239" s="2"/>
      <c r="H239" s="2"/>
      <c r="I239" s="2"/>
      <c r="J239" s="2"/>
      <c r="K239" s="2"/>
      <c r="L239" s="2"/>
      <c r="M239" s="2"/>
      <c r="N239" s="2"/>
      <c r="O239" s="2"/>
      <c r="P239" s="2"/>
      <c r="Q239" s="2"/>
      <c r="R239" s="2"/>
    </row>
    <row r="240" spans="1:18" x14ac:dyDescent="0.25">
      <c r="A240" s="2"/>
      <c r="B240" s="2"/>
      <c r="C240" s="2"/>
      <c r="D240" s="2"/>
      <c r="E240" s="2"/>
      <c r="F240" s="2"/>
      <c r="G240" s="2"/>
      <c r="H240" s="2"/>
      <c r="I240" s="2"/>
      <c r="J240" s="2"/>
      <c r="K240" s="2"/>
      <c r="L240" s="2"/>
      <c r="M240" s="2"/>
      <c r="N240" s="2"/>
      <c r="O240" s="2"/>
      <c r="P240" s="2"/>
      <c r="Q240" s="2"/>
      <c r="R240" s="2"/>
    </row>
    <row r="241" spans="1:18" x14ac:dyDescent="0.25">
      <c r="A241" s="2"/>
      <c r="B241" s="2"/>
      <c r="C241" s="2"/>
      <c r="D241" s="2"/>
      <c r="E241" s="2"/>
      <c r="F241" s="2"/>
      <c r="G241" s="2"/>
      <c r="H241" s="2"/>
      <c r="I241" s="2"/>
      <c r="J241" s="2"/>
      <c r="K241" s="2"/>
      <c r="L241" s="2"/>
      <c r="M241" s="2"/>
      <c r="N241" s="2"/>
      <c r="O241" s="2"/>
      <c r="P241" s="2"/>
      <c r="Q241" s="2"/>
      <c r="R241" s="2"/>
    </row>
    <row r="242" spans="1:18" x14ac:dyDescent="0.25">
      <c r="A242" s="2"/>
      <c r="B242" s="2"/>
      <c r="C242" s="2"/>
      <c r="D242" s="2"/>
      <c r="E242" s="2"/>
      <c r="F242" s="2"/>
      <c r="G242" s="2"/>
      <c r="H242" s="2"/>
      <c r="I242" s="2"/>
      <c r="J242" s="2"/>
      <c r="K242" s="2"/>
      <c r="L242" s="2"/>
      <c r="M242" s="2"/>
      <c r="N242" s="2"/>
      <c r="O242" s="2"/>
      <c r="P242" s="2"/>
      <c r="Q242" s="2"/>
      <c r="R242" s="2"/>
    </row>
    <row r="243" spans="1:18" x14ac:dyDescent="0.25">
      <c r="A243" s="2"/>
      <c r="B243" s="2"/>
      <c r="C243" s="2"/>
      <c r="D243" s="2"/>
      <c r="E243" s="2"/>
      <c r="F243" s="2"/>
      <c r="G243" s="2"/>
      <c r="H243" s="2"/>
      <c r="I243" s="2"/>
      <c r="J243" s="2"/>
      <c r="K243" s="2"/>
      <c r="L243" s="2"/>
      <c r="M243" s="2"/>
      <c r="N243" s="2"/>
      <c r="O243" s="2"/>
      <c r="P243" s="2"/>
      <c r="Q243" s="2"/>
      <c r="R243" s="2"/>
    </row>
    <row r="244" spans="1:18" x14ac:dyDescent="0.25">
      <c r="A244" s="2"/>
      <c r="B244" s="2"/>
      <c r="C244" s="2"/>
      <c r="D244" s="2"/>
      <c r="E244" s="2"/>
      <c r="F244" s="2"/>
      <c r="G244" s="2"/>
      <c r="H244" s="2"/>
      <c r="I244" s="2"/>
      <c r="J244" s="2"/>
      <c r="K244" s="2"/>
      <c r="L244" s="2"/>
      <c r="M244" s="2"/>
      <c r="N244" s="2"/>
      <c r="O244" s="2"/>
      <c r="P244" s="2"/>
      <c r="Q244" s="2"/>
      <c r="R244" s="2"/>
    </row>
    <row r="245" spans="1:18" x14ac:dyDescent="0.25">
      <c r="A245" s="2"/>
      <c r="B245" s="2"/>
      <c r="C245" s="2"/>
      <c r="D245" s="2"/>
      <c r="E245" s="2"/>
      <c r="F245" s="2"/>
      <c r="G245" s="2"/>
      <c r="H245" s="2"/>
      <c r="I245" s="2"/>
      <c r="J245" s="2"/>
      <c r="K245" s="2"/>
      <c r="L245" s="2"/>
      <c r="M245" s="2"/>
      <c r="N245" s="2"/>
      <c r="O245" s="2"/>
      <c r="P245" s="2"/>
      <c r="Q245" s="2"/>
      <c r="R245" s="2"/>
    </row>
    <row r="246" spans="1:18" x14ac:dyDescent="0.25">
      <c r="A246" s="2"/>
      <c r="B246" s="2"/>
      <c r="C246" s="2"/>
      <c r="D246" s="2"/>
      <c r="E246" s="2"/>
      <c r="F246" s="2"/>
      <c r="G246" s="2"/>
      <c r="H246" s="2"/>
      <c r="I246" s="2"/>
      <c r="J246" s="2"/>
      <c r="K246" s="2"/>
      <c r="L246" s="2"/>
      <c r="M246" s="2"/>
      <c r="N246" s="2"/>
      <c r="O246" s="2"/>
      <c r="P246" s="2"/>
      <c r="Q246" s="2"/>
      <c r="R246" s="2"/>
    </row>
    <row r="247" spans="1:18" x14ac:dyDescent="0.25">
      <c r="A247" s="2"/>
      <c r="B247" s="2"/>
      <c r="C247" s="2"/>
      <c r="D247" s="2"/>
      <c r="E247" s="2"/>
      <c r="F247" s="2"/>
      <c r="G247" s="2"/>
      <c r="H247" s="2"/>
      <c r="I247" s="2"/>
      <c r="J247" s="2"/>
      <c r="K247" s="2"/>
      <c r="L247" s="2"/>
      <c r="M247" s="2"/>
      <c r="N247" s="2"/>
      <c r="O247" s="2"/>
      <c r="P247" s="2"/>
      <c r="Q247" s="2"/>
      <c r="R247" s="2"/>
    </row>
    <row r="248" spans="1:18" x14ac:dyDescent="0.25">
      <c r="A248" s="2"/>
      <c r="B248" s="2"/>
      <c r="C248" s="2"/>
      <c r="D248" s="2"/>
      <c r="E248" s="2"/>
      <c r="F248" s="2"/>
      <c r="G248" s="2"/>
      <c r="H248" s="2"/>
      <c r="I248" s="2"/>
      <c r="J248" s="2"/>
      <c r="K248" s="2"/>
      <c r="L248" s="2"/>
      <c r="M248" s="2"/>
      <c r="N248" s="2"/>
      <c r="O248" s="2"/>
      <c r="P248" s="2"/>
      <c r="Q248" s="2"/>
      <c r="R248" s="2"/>
    </row>
    <row r="249" spans="1:18" x14ac:dyDescent="0.25">
      <c r="A249" s="2"/>
      <c r="B249" s="2"/>
      <c r="C249" s="2"/>
      <c r="D249" s="2"/>
      <c r="E249" s="2"/>
      <c r="F249" s="2"/>
      <c r="G249" s="2"/>
      <c r="H249" s="2"/>
      <c r="I249" s="2"/>
      <c r="J249" s="2"/>
      <c r="K249" s="2"/>
      <c r="L249" s="2"/>
      <c r="M249" s="2"/>
      <c r="N249" s="2"/>
      <c r="O249" s="2"/>
      <c r="P249" s="2"/>
      <c r="Q249" s="2"/>
      <c r="R249" s="2"/>
    </row>
    <row r="250" spans="1:18" x14ac:dyDescent="0.25">
      <c r="A250" s="2"/>
      <c r="B250" s="2"/>
      <c r="C250" s="2"/>
      <c r="D250" s="2"/>
      <c r="E250" s="2"/>
      <c r="F250" s="2"/>
      <c r="G250" s="2"/>
      <c r="H250" s="2"/>
      <c r="I250" s="2"/>
      <c r="J250" s="2"/>
      <c r="K250" s="2"/>
      <c r="L250" s="2"/>
      <c r="M250" s="2"/>
      <c r="N250" s="2"/>
      <c r="O250" s="2"/>
      <c r="P250" s="2"/>
      <c r="Q250" s="2"/>
      <c r="R250" s="2"/>
    </row>
    <row r="251" spans="1:18" x14ac:dyDescent="0.25">
      <c r="A251" s="2"/>
      <c r="B251" s="2"/>
      <c r="C251" s="2"/>
      <c r="D251" s="2"/>
      <c r="E251" s="2"/>
      <c r="F251" s="2"/>
      <c r="G251" s="2"/>
      <c r="H251" s="2"/>
      <c r="I251" s="2"/>
      <c r="J251" s="2"/>
      <c r="K251" s="2"/>
      <c r="L251" s="2"/>
      <c r="M251" s="2"/>
      <c r="N251" s="2"/>
      <c r="O251" s="2"/>
      <c r="P251" s="2"/>
      <c r="Q251" s="2"/>
      <c r="R251" s="2"/>
    </row>
    <row r="252" spans="1:18" x14ac:dyDescent="0.25">
      <c r="A252" s="2"/>
      <c r="B252" s="2"/>
      <c r="C252" s="2"/>
      <c r="D252" s="2"/>
      <c r="E252" s="2"/>
      <c r="F252" s="2"/>
      <c r="G252" s="2"/>
      <c r="H252" s="2"/>
      <c r="I252" s="2"/>
      <c r="J252" s="2"/>
      <c r="K252" s="2"/>
      <c r="L252" s="2"/>
      <c r="M252" s="2"/>
      <c r="N252" s="2"/>
      <c r="O252" s="2"/>
      <c r="P252" s="2"/>
      <c r="Q252" s="2"/>
      <c r="R252" s="2"/>
    </row>
    <row r="253" spans="1:18" x14ac:dyDescent="0.25">
      <c r="A253" s="2"/>
      <c r="B253" s="2"/>
      <c r="C253" s="2"/>
      <c r="D253" s="2"/>
      <c r="E253" s="2"/>
      <c r="F253" s="2"/>
      <c r="G253" s="2"/>
      <c r="H253" s="2"/>
      <c r="I253" s="2"/>
      <c r="J253" s="2"/>
      <c r="K253" s="2"/>
      <c r="L253" s="2"/>
      <c r="M253" s="2"/>
      <c r="N253" s="2"/>
      <c r="O253" s="2"/>
      <c r="P253" s="2"/>
      <c r="Q253" s="2"/>
      <c r="R253" s="2"/>
    </row>
    <row r="254" spans="1:18" x14ac:dyDescent="0.25">
      <c r="A254" s="2"/>
      <c r="B254" s="2"/>
      <c r="C254" s="2"/>
      <c r="D254" s="2"/>
      <c r="E254" s="2"/>
      <c r="F254" s="2"/>
      <c r="G254" s="2"/>
      <c r="H254" s="2"/>
      <c r="I254" s="2"/>
      <c r="J254" s="2"/>
      <c r="K254" s="2"/>
      <c r="L254" s="2"/>
      <c r="M254" s="2"/>
      <c r="N254" s="2"/>
      <c r="O254" s="2"/>
      <c r="P254" s="2"/>
      <c r="Q254" s="2"/>
      <c r="R254" s="2"/>
    </row>
    <row r="255" spans="1:18" x14ac:dyDescent="0.25">
      <c r="A255" s="2"/>
      <c r="B255" s="2"/>
      <c r="C255" s="2"/>
      <c r="D255" s="2"/>
      <c r="E255" s="2"/>
      <c r="F255" s="2"/>
      <c r="G255" s="2"/>
      <c r="H255" s="2"/>
      <c r="I255" s="2"/>
      <c r="J255" s="2"/>
      <c r="K255" s="2"/>
      <c r="L255" s="2"/>
      <c r="M255" s="2"/>
      <c r="N255" s="2"/>
      <c r="O255" s="2"/>
      <c r="P255" s="2"/>
      <c r="Q255" s="2"/>
      <c r="R255" s="2"/>
    </row>
    <row r="256" spans="1:18" x14ac:dyDescent="0.25">
      <c r="A256" s="2"/>
      <c r="B256" s="2"/>
      <c r="C256" s="2"/>
      <c r="D256" s="2"/>
      <c r="E256" s="2"/>
      <c r="F256" s="2"/>
      <c r="G256" s="2"/>
      <c r="H256" s="2"/>
      <c r="I256" s="2"/>
      <c r="J256" s="2"/>
      <c r="K256" s="2"/>
      <c r="L256" s="2"/>
      <c r="M256" s="2"/>
      <c r="N256" s="2"/>
      <c r="O256" s="2"/>
      <c r="P256" s="2"/>
      <c r="Q256" s="2"/>
      <c r="R256" s="2"/>
    </row>
    <row r="257" spans="1:18" x14ac:dyDescent="0.25">
      <c r="A257" s="2"/>
      <c r="B257" s="2"/>
      <c r="C257" s="2"/>
      <c r="D257" s="2"/>
      <c r="E257" s="2"/>
      <c r="F257" s="2"/>
      <c r="G257" s="2"/>
      <c r="H257" s="2"/>
      <c r="I257" s="2"/>
      <c r="J257" s="2"/>
      <c r="K257" s="2"/>
      <c r="L257" s="2"/>
      <c r="M257" s="2"/>
      <c r="N257" s="2"/>
      <c r="O257" s="2"/>
      <c r="P257" s="2"/>
      <c r="Q257" s="2"/>
      <c r="R257" s="2"/>
    </row>
    <row r="258" spans="1:18" x14ac:dyDescent="0.25">
      <c r="A258" s="2"/>
      <c r="B258" s="2"/>
      <c r="C258" s="2"/>
      <c r="D258" s="2"/>
      <c r="E258" s="2"/>
      <c r="F258" s="2"/>
      <c r="G258" s="2"/>
      <c r="H258" s="2"/>
      <c r="I258" s="2"/>
      <c r="J258" s="2"/>
      <c r="K258" s="2"/>
      <c r="L258" s="2"/>
      <c r="M258" s="2"/>
      <c r="N258" s="2"/>
      <c r="O258" s="2"/>
      <c r="P258" s="2"/>
      <c r="Q258" s="2"/>
      <c r="R258" s="2"/>
    </row>
    <row r="259" spans="1:18" x14ac:dyDescent="0.25">
      <c r="A259" s="2"/>
      <c r="B259" s="2"/>
      <c r="C259" s="2"/>
      <c r="D259" s="2"/>
      <c r="E259" s="2"/>
      <c r="F259" s="2"/>
      <c r="G259" s="2"/>
      <c r="H259" s="2"/>
      <c r="I259" s="2"/>
      <c r="J259" s="2"/>
      <c r="K259" s="2"/>
      <c r="L259" s="2"/>
      <c r="M259" s="2"/>
      <c r="N259" s="2"/>
      <c r="O259" s="2"/>
      <c r="P259" s="2"/>
      <c r="Q259" s="2"/>
      <c r="R259" s="2"/>
    </row>
    <row r="260" spans="1:18" x14ac:dyDescent="0.25">
      <c r="A260" s="2"/>
      <c r="B260" s="2"/>
      <c r="C260" s="2"/>
      <c r="D260" s="2"/>
      <c r="E260" s="2"/>
      <c r="F260" s="2"/>
      <c r="G260" s="2"/>
      <c r="H260" s="2"/>
      <c r="I260" s="2"/>
      <c r="J260" s="2"/>
      <c r="K260" s="2"/>
      <c r="L260" s="2"/>
      <c r="M260" s="2"/>
      <c r="N260" s="2"/>
      <c r="O260" s="2"/>
      <c r="P260" s="2"/>
      <c r="Q260" s="2"/>
      <c r="R260" s="2"/>
    </row>
    <row r="261" spans="1:18" x14ac:dyDescent="0.25">
      <c r="A261" s="2"/>
      <c r="B261" s="2"/>
      <c r="C261" s="2"/>
      <c r="D261" s="2"/>
      <c r="E261" s="2"/>
      <c r="F261" s="2"/>
      <c r="G261" s="2"/>
      <c r="H261" s="2"/>
      <c r="I261" s="2"/>
      <c r="J261" s="2"/>
      <c r="K261" s="2"/>
      <c r="L261" s="2"/>
      <c r="M261" s="2"/>
      <c r="N261" s="2"/>
      <c r="O261" s="2"/>
      <c r="P261" s="2"/>
      <c r="Q261" s="2"/>
      <c r="R261" s="2"/>
    </row>
    <row r="262" spans="1:18" x14ac:dyDescent="0.25">
      <c r="A262" s="2"/>
      <c r="B262" s="2"/>
      <c r="C262" s="2"/>
      <c r="D262" s="2"/>
      <c r="E262" s="2"/>
      <c r="F262" s="2"/>
      <c r="G262" s="2"/>
      <c r="H262" s="2"/>
      <c r="I262" s="2"/>
      <c r="J262" s="2"/>
      <c r="K262" s="2"/>
      <c r="L262" s="2"/>
      <c r="M262" s="2"/>
      <c r="N262" s="2"/>
      <c r="O262" s="2"/>
      <c r="P262" s="2"/>
      <c r="Q262" s="2"/>
      <c r="R262" s="2"/>
    </row>
    <row r="263" spans="1:18" x14ac:dyDescent="0.25">
      <c r="A263" s="2"/>
      <c r="B263" s="2"/>
      <c r="C263" s="2"/>
      <c r="D263" s="2"/>
      <c r="E263" s="2"/>
      <c r="F263" s="2"/>
      <c r="G263" s="2"/>
      <c r="H263" s="2"/>
      <c r="I263" s="2"/>
      <c r="J263" s="2"/>
      <c r="K263" s="2"/>
      <c r="L263" s="2"/>
      <c r="M263" s="2"/>
      <c r="N263" s="2"/>
      <c r="O263" s="2"/>
      <c r="P263" s="2"/>
      <c r="Q263" s="2"/>
      <c r="R263" s="2"/>
    </row>
    <row r="264" spans="1:18" x14ac:dyDescent="0.25">
      <c r="A264" s="2"/>
      <c r="B264" s="2"/>
      <c r="C264" s="2"/>
      <c r="D264" s="2"/>
      <c r="E264" s="2"/>
      <c r="F264" s="2"/>
      <c r="G264" s="2"/>
      <c r="H264" s="2"/>
      <c r="I264" s="2"/>
      <c r="J264" s="2"/>
      <c r="K264" s="2"/>
      <c r="L264" s="2"/>
      <c r="M264" s="2"/>
      <c r="N264" s="2"/>
      <c r="O264" s="2"/>
      <c r="P264" s="2"/>
      <c r="Q264" s="2"/>
      <c r="R264" s="2"/>
    </row>
    <row r="265" spans="1:18" x14ac:dyDescent="0.25">
      <c r="A265" s="2"/>
      <c r="B265" s="2"/>
      <c r="C265" s="2"/>
      <c r="D265" s="2"/>
      <c r="E265" s="2"/>
      <c r="F265" s="2"/>
      <c r="G265" s="2"/>
      <c r="H265" s="2"/>
      <c r="I265" s="2"/>
      <c r="J265" s="2"/>
      <c r="K265" s="2"/>
      <c r="L265" s="2"/>
      <c r="M265" s="2"/>
      <c r="N265" s="2"/>
      <c r="O265" s="2"/>
      <c r="P265" s="2"/>
      <c r="Q265" s="2"/>
      <c r="R265" s="2"/>
    </row>
    <row r="266" spans="1:18" x14ac:dyDescent="0.25">
      <c r="A266" s="2"/>
      <c r="B266" s="2"/>
      <c r="C266" s="2"/>
      <c r="D266" s="2"/>
      <c r="E266" s="2"/>
      <c r="F266" s="2"/>
      <c r="G266" s="2"/>
      <c r="H266" s="2"/>
      <c r="I266" s="2"/>
      <c r="J266" s="2"/>
      <c r="K266" s="2"/>
      <c r="L266" s="2"/>
      <c r="M266" s="2"/>
      <c r="N266" s="2"/>
      <c r="O266" s="2"/>
      <c r="P266" s="2"/>
      <c r="Q266" s="2"/>
      <c r="R266" s="2"/>
    </row>
    <row r="267" spans="1:18" x14ac:dyDescent="0.25">
      <c r="A267" s="2"/>
      <c r="B267" s="2"/>
      <c r="C267" s="2"/>
      <c r="D267" s="2"/>
      <c r="E267" s="2"/>
      <c r="F267" s="2"/>
      <c r="G267" s="2"/>
      <c r="H267" s="2"/>
      <c r="I267" s="2"/>
      <c r="J267" s="2"/>
      <c r="K267" s="2"/>
      <c r="L267" s="2"/>
      <c r="M267" s="2"/>
      <c r="N267" s="2"/>
      <c r="O267" s="2"/>
      <c r="P267" s="2"/>
      <c r="Q267" s="2"/>
      <c r="R267" s="2"/>
    </row>
    <row r="268" spans="1:18" x14ac:dyDescent="0.25">
      <c r="A268" s="2"/>
      <c r="B268" s="2"/>
      <c r="C268" s="2"/>
      <c r="D268" s="2"/>
      <c r="E268" s="2"/>
      <c r="F268" s="2"/>
      <c r="G268" s="2"/>
      <c r="H268" s="2"/>
      <c r="I268" s="2"/>
      <c r="J268" s="2"/>
      <c r="K268" s="2"/>
      <c r="L268" s="2"/>
      <c r="M268" s="2"/>
      <c r="N268" s="2"/>
      <c r="O268" s="2"/>
      <c r="P268" s="2"/>
      <c r="Q268" s="2"/>
      <c r="R268" s="2"/>
    </row>
    <row r="269" spans="1:18" x14ac:dyDescent="0.25">
      <c r="A269" s="2"/>
      <c r="B269" s="2"/>
      <c r="C269" s="2"/>
      <c r="D269" s="2"/>
      <c r="E269" s="2"/>
      <c r="F269" s="2"/>
      <c r="G269" s="2"/>
      <c r="H269" s="2"/>
      <c r="I269" s="2"/>
      <c r="J269" s="2"/>
      <c r="K269" s="2"/>
      <c r="L269" s="2"/>
      <c r="M269" s="2"/>
      <c r="N269" s="2"/>
      <c r="O269" s="2"/>
      <c r="P269" s="2"/>
      <c r="Q269" s="2"/>
      <c r="R269" s="2"/>
    </row>
    <row r="270" spans="1:18" x14ac:dyDescent="0.25">
      <c r="A270" s="2"/>
      <c r="B270" s="2"/>
      <c r="C270" s="2"/>
      <c r="D270" s="2"/>
      <c r="E270" s="2"/>
      <c r="F270" s="2"/>
      <c r="G270" s="2"/>
      <c r="H270" s="2"/>
      <c r="I270" s="2"/>
      <c r="J270" s="2"/>
      <c r="K270" s="2"/>
      <c r="L270" s="2"/>
      <c r="M270" s="2"/>
      <c r="N270" s="2"/>
      <c r="O270" s="2"/>
      <c r="P270" s="2"/>
      <c r="Q270" s="2"/>
      <c r="R270" s="2"/>
    </row>
    <row r="271" spans="1:18" x14ac:dyDescent="0.25">
      <c r="A271" s="2"/>
      <c r="B271" s="2"/>
      <c r="C271" s="2"/>
      <c r="D271" s="2"/>
      <c r="E271" s="2"/>
      <c r="F271" s="2"/>
      <c r="G271" s="2"/>
      <c r="H271" s="2"/>
      <c r="I271" s="2"/>
      <c r="J271" s="2"/>
      <c r="K271" s="2"/>
      <c r="L271" s="2"/>
      <c r="M271" s="2"/>
      <c r="N271" s="2"/>
      <c r="O271" s="2"/>
      <c r="P271" s="2"/>
      <c r="Q271" s="2"/>
      <c r="R271" s="2"/>
    </row>
    <row r="272" spans="1:18" x14ac:dyDescent="0.25">
      <c r="A272" s="2"/>
      <c r="B272" s="2"/>
      <c r="C272" s="2"/>
      <c r="D272" s="2"/>
      <c r="E272" s="2"/>
      <c r="F272" s="2"/>
      <c r="G272" s="2"/>
      <c r="H272" s="2"/>
      <c r="I272" s="2"/>
      <c r="J272" s="2"/>
      <c r="K272" s="2"/>
      <c r="L272" s="2"/>
      <c r="M272" s="2"/>
      <c r="N272" s="2"/>
      <c r="O272" s="2"/>
      <c r="P272" s="2"/>
      <c r="Q272" s="2"/>
      <c r="R272" s="2"/>
    </row>
    <row r="273" spans="1:18" x14ac:dyDescent="0.25">
      <c r="A273" s="2"/>
      <c r="B273" s="2"/>
      <c r="C273" s="2"/>
      <c r="D273" s="2"/>
      <c r="E273" s="2"/>
      <c r="F273" s="2"/>
      <c r="G273" s="2"/>
      <c r="H273" s="2"/>
      <c r="I273" s="2"/>
      <c r="J273" s="2"/>
      <c r="K273" s="2"/>
      <c r="L273" s="2"/>
      <c r="M273" s="2"/>
      <c r="N273" s="2"/>
      <c r="O273" s="2"/>
      <c r="P273" s="2"/>
      <c r="Q273" s="2"/>
      <c r="R273" s="2"/>
    </row>
    <row r="274" spans="1:18" x14ac:dyDescent="0.25">
      <c r="A274" s="2"/>
      <c r="B274" s="2"/>
      <c r="C274" s="2"/>
      <c r="D274" s="2"/>
      <c r="E274" s="2"/>
      <c r="F274" s="2"/>
      <c r="G274" s="2"/>
      <c r="H274" s="2"/>
      <c r="I274" s="2"/>
      <c r="J274" s="2"/>
      <c r="K274" s="2"/>
      <c r="L274" s="2"/>
      <c r="M274" s="2"/>
      <c r="N274" s="2"/>
      <c r="O274" s="2"/>
      <c r="P274" s="2"/>
      <c r="Q274" s="2"/>
      <c r="R274" s="2"/>
    </row>
    <row r="275" spans="1:18" x14ac:dyDescent="0.25">
      <c r="A275" s="2"/>
      <c r="B275" s="2"/>
      <c r="C275" s="2"/>
      <c r="D275" s="2"/>
      <c r="E275" s="2"/>
      <c r="F275" s="2"/>
      <c r="G275" s="2"/>
      <c r="H275" s="2"/>
      <c r="I275" s="2"/>
      <c r="J275" s="2"/>
      <c r="K275" s="2"/>
      <c r="L275" s="2"/>
      <c r="M275" s="2"/>
      <c r="N275" s="2"/>
      <c r="O275" s="2"/>
      <c r="P275" s="2"/>
      <c r="Q275" s="2"/>
      <c r="R275" s="2"/>
    </row>
    <row r="276" spans="1:18" x14ac:dyDescent="0.25">
      <c r="A276" s="2"/>
      <c r="B276" s="2"/>
      <c r="C276" s="2"/>
      <c r="D276" s="2"/>
      <c r="E276" s="2"/>
      <c r="F276" s="2"/>
      <c r="G276" s="2"/>
      <c r="H276" s="2"/>
      <c r="I276" s="2"/>
      <c r="J276" s="2"/>
      <c r="K276" s="2"/>
    </row>
    <row r="277" spans="1:18" x14ac:dyDescent="0.25">
      <c r="A277" s="2"/>
      <c r="B277" s="2"/>
      <c r="C277" s="2"/>
      <c r="D277" s="2"/>
      <c r="E277" s="2"/>
      <c r="F277" s="2"/>
      <c r="G277" s="2"/>
      <c r="H277" s="2"/>
      <c r="I277" s="2"/>
      <c r="J277" s="2"/>
      <c r="K277" s="2"/>
    </row>
    <row r="278" spans="1:18" x14ac:dyDescent="0.25">
      <c r="A278" s="2"/>
      <c r="B278" s="2"/>
      <c r="C278" s="2"/>
      <c r="D278" s="2"/>
      <c r="E278" s="2"/>
      <c r="F278" s="2"/>
      <c r="G278" s="2"/>
      <c r="H278" s="2"/>
      <c r="I278" s="2"/>
      <c r="J278" s="2"/>
      <c r="K278" s="2"/>
    </row>
    <row r="279" spans="1:18" x14ac:dyDescent="0.25">
      <c r="A279" s="2"/>
      <c r="B279" s="2"/>
      <c r="C279" s="2"/>
      <c r="D279" s="2"/>
      <c r="E279" s="2"/>
      <c r="F279" s="2"/>
      <c r="G279" s="2"/>
      <c r="H279" s="2"/>
      <c r="I279" s="2"/>
      <c r="J279" s="2"/>
      <c r="K279" s="2"/>
    </row>
    <row r="280" spans="1:18" x14ac:dyDescent="0.25">
      <c r="A280" s="2"/>
      <c r="B280" s="2"/>
      <c r="C280" s="2"/>
      <c r="D280" s="2"/>
      <c r="E280" s="2"/>
      <c r="F280" s="2"/>
      <c r="G280" s="2"/>
      <c r="H280" s="2"/>
      <c r="I280" s="2"/>
      <c r="J280" s="2"/>
      <c r="K280" s="2"/>
    </row>
    <row r="281" spans="1:18" x14ac:dyDescent="0.25">
      <c r="A281" s="2"/>
      <c r="B281" s="2"/>
      <c r="C281" s="2"/>
      <c r="D281" s="2"/>
      <c r="E281" s="2"/>
      <c r="F281" s="2"/>
      <c r="G281" s="2"/>
      <c r="H281" s="2"/>
      <c r="I281" s="2"/>
      <c r="J281" s="2"/>
      <c r="K281" s="2"/>
    </row>
    <row r="282" spans="1:18" x14ac:dyDescent="0.25">
      <c r="A282" s="2"/>
      <c r="B282" s="2"/>
      <c r="C282" s="2"/>
      <c r="D282" s="2"/>
      <c r="E282" s="2"/>
      <c r="F282" s="2"/>
      <c r="G282" s="2"/>
      <c r="H282" s="2"/>
      <c r="I282" s="2"/>
      <c r="J282" s="2"/>
      <c r="K282" s="2"/>
    </row>
    <row r="283" spans="1:18" x14ac:dyDescent="0.25">
      <c r="A283" s="2"/>
      <c r="B283" s="2"/>
      <c r="C283" s="2"/>
      <c r="D283" s="2"/>
      <c r="E283" s="2"/>
      <c r="F283" s="2"/>
      <c r="G283" s="2"/>
      <c r="H283" s="2"/>
      <c r="I283" s="2"/>
      <c r="J283" s="2"/>
      <c r="K283" s="2"/>
    </row>
    <row r="284" spans="1:18" x14ac:dyDescent="0.25">
      <c r="A284" s="2"/>
      <c r="B284" s="2"/>
      <c r="C284" s="2"/>
      <c r="D284" s="2"/>
      <c r="E284" s="2"/>
      <c r="F284" s="2"/>
      <c r="G284" s="2"/>
      <c r="H284" s="2"/>
      <c r="I284" s="2"/>
      <c r="J284" s="2"/>
      <c r="K284" s="2"/>
    </row>
    <row r="285" spans="1:18" x14ac:dyDescent="0.25">
      <c r="A285" s="2"/>
      <c r="B285" s="2"/>
      <c r="C285" s="2"/>
      <c r="D285" s="2"/>
      <c r="E285" s="2"/>
      <c r="F285" s="2"/>
      <c r="G285" s="2"/>
      <c r="H285" s="2"/>
      <c r="I285" s="2"/>
      <c r="J285" s="2"/>
      <c r="K285" s="2"/>
    </row>
    <row r="286" spans="1:18" x14ac:dyDescent="0.25">
      <c r="A286" s="2"/>
      <c r="B286" s="2"/>
      <c r="C286" s="2"/>
      <c r="D286" s="2"/>
      <c r="E286" s="2"/>
      <c r="F286" s="2"/>
      <c r="G286" s="2"/>
      <c r="H286" s="2"/>
      <c r="I286" s="2"/>
      <c r="J286" s="2"/>
      <c r="K286" s="2"/>
    </row>
    <row r="287" spans="1:18" x14ac:dyDescent="0.25">
      <c r="A287" s="2"/>
      <c r="B287" s="2"/>
      <c r="C287" s="2"/>
      <c r="D287" s="2"/>
      <c r="E287" s="2"/>
      <c r="F287" s="2"/>
      <c r="G287" s="2"/>
      <c r="H287" s="2"/>
      <c r="I287" s="2"/>
      <c r="J287" s="2"/>
      <c r="K287" s="2"/>
    </row>
    <row r="288" spans="1:18" x14ac:dyDescent="0.25">
      <c r="A288" s="2"/>
      <c r="B288" s="2"/>
      <c r="C288" s="2"/>
      <c r="D288" s="2"/>
      <c r="E288" s="2"/>
      <c r="F288" s="2"/>
      <c r="G288" s="2"/>
      <c r="H288" s="2"/>
      <c r="I288" s="2"/>
      <c r="J288" s="2"/>
      <c r="K288" s="2"/>
    </row>
    <row r="289" spans="1:11" x14ac:dyDescent="0.25">
      <c r="A289" s="2"/>
      <c r="B289" s="2"/>
      <c r="C289" s="2"/>
      <c r="D289" s="2"/>
      <c r="E289" s="2"/>
      <c r="F289" s="2"/>
      <c r="G289" s="2"/>
      <c r="H289" s="2"/>
      <c r="I289" s="2"/>
      <c r="J289" s="2"/>
      <c r="K289" s="2"/>
    </row>
    <row r="290" spans="1:11" x14ac:dyDescent="0.25">
      <c r="A290" s="2"/>
      <c r="B290" s="2"/>
      <c r="C290" s="2"/>
      <c r="D290" s="2"/>
      <c r="E290" s="2"/>
      <c r="F290" s="2"/>
      <c r="G290" s="2"/>
      <c r="H290" s="2"/>
      <c r="I290" s="2"/>
      <c r="J290" s="2"/>
      <c r="K290" s="2"/>
    </row>
    <row r="291" spans="1:11" x14ac:dyDescent="0.25">
      <c r="A291" s="2"/>
      <c r="B291" s="2"/>
      <c r="C291" s="2"/>
      <c r="D291" s="2"/>
      <c r="E291" s="2"/>
      <c r="F291" s="2"/>
      <c r="G291" s="2"/>
      <c r="H291" s="2"/>
      <c r="I291" s="2"/>
      <c r="J291" s="2"/>
      <c r="K291" s="2"/>
    </row>
    <row r="292" spans="1:11" x14ac:dyDescent="0.25">
      <c r="A292" s="2"/>
      <c r="B292" s="2"/>
      <c r="C292" s="2"/>
      <c r="D292" s="2"/>
      <c r="E292" s="2"/>
      <c r="F292" s="2"/>
      <c r="G292" s="2"/>
      <c r="H292" s="2"/>
      <c r="I292" s="2"/>
      <c r="J292" s="2"/>
      <c r="K292" s="2"/>
    </row>
    <row r="293" spans="1:11" x14ac:dyDescent="0.25">
      <c r="A293" s="2"/>
      <c r="B293" s="2"/>
      <c r="C293" s="2"/>
      <c r="D293" s="2"/>
      <c r="E293" s="2"/>
      <c r="F293" s="2"/>
      <c r="G293" s="2"/>
      <c r="H293" s="2"/>
      <c r="I293" s="2"/>
      <c r="J293" s="2"/>
      <c r="K293" s="2"/>
    </row>
    <row r="294" spans="1:11" x14ac:dyDescent="0.25">
      <c r="A294" s="2"/>
      <c r="B294" s="2"/>
      <c r="C294" s="2"/>
      <c r="D294" s="2"/>
      <c r="E294" s="2"/>
      <c r="F294" s="2"/>
      <c r="G294" s="2"/>
      <c r="H294" s="2"/>
      <c r="I294" s="2"/>
      <c r="J294" s="2"/>
      <c r="K294" s="2"/>
    </row>
    <row r="295" spans="1:11" x14ac:dyDescent="0.25">
      <c r="A295" s="2"/>
      <c r="B295" s="2"/>
      <c r="C295" s="2"/>
      <c r="D295" s="2"/>
      <c r="E295" s="2"/>
      <c r="F295" s="2"/>
      <c r="G295" s="2"/>
      <c r="H295" s="2"/>
      <c r="I295" s="2"/>
      <c r="J295" s="2"/>
      <c r="K295" s="2"/>
    </row>
    <row r="296" spans="1:11" x14ac:dyDescent="0.25">
      <c r="A296" s="2"/>
      <c r="B296" s="2"/>
      <c r="C296" s="2"/>
      <c r="D296" s="2"/>
      <c r="E296" s="2"/>
      <c r="F296" s="2"/>
      <c r="G296" s="2"/>
      <c r="H296" s="2"/>
      <c r="I296" s="2"/>
      <c r="J296" s="2"/>
      <c r="K296" s="2"/>
    </row>
    <row r="297" spans="1:11" x14ac:dyDescent="0.25">
      <c r="A297" s="2"/>
      <c r="B297" s="2"/>
      <c r="C297" s="2"/>
      <c r="D297" s="2"/>
      <c r="E297" s="2"/>
      <c r="F297" s="2"/>
      <c r="G297" s="2"/>
      <c r="H297" s="2"/>
      <c r="I297" s="2"/>
      <c r="J297" s="2"/>
      <c r="K297" s="2"/>
    </row>
    <row r="298" spans="1:11" x14ac:dyDescent="0.25">
      <c r="A298" s="2"/>
      <c r="B298" s="2"/>
      <c r="C298" s="2"/>
      <c r="D298" s="2"/>
      <c r="E298" s="2"/>
      <c r="F298" s="2"/>
      <c r="G298" s="2"/>
      <c r="H298" s="2"/>
      <c r="I298" s="2"/>
      <c r="J298" s="2"/>
      <c r="K298" s="2"/>
    </row>
    <row r="299" spans="1:11" x14ac:dyDescent="0.25">
      <c r="A299" s="2"/>
      <c r="B299" s="2"/>
      <c r="C299" s="2"/>
      <c r="D299" s="2"/>
      <c r="E299" s="2"/>
      <c r="F299" s="2"/>
      <c r="G299" s="2"/>
      <c r="H299" s="2"/>
      <c r="I299" s="2"/>
      <c r="J299" s="2"/>
      <c r="K299" s="2"/>
    </row>
    <row r="300" spans="1:11" x14ac:dyDescent="0.25">
      <c r="A300" s="2"/>
      <c r="B300" s="2"/>
      <c r="C300" s="2"/>
      <c r="D300" s="2"/>
      <c r="E300" s="2"/>
      <c r="F300" s="2"/>
      <c r="G300" s="2"/>
      <c r="H300" s="2"/>
      <c r="I300" s="2"/>
      <c r="J300" s="2"/>
      <c r="K300" s="2"/>
    </row>
    <row r="301" spans="1:11" x14ac:dyDescent="0.25">
      <c r="A301" s="2"/>
      <c r="B301" s="2"/>
      <c r="C301" s="2"/>
      <c r="D301" s="2"/>
      <c r="E301" s="2"/>
      <c r="F301" s="2"/>
      <c r="G301" s="2"/>
      <c r="H301" s="2"/>
      <c r="I301" s="2"/>
      <c r="J301" s="2"/>
      <c r="K301" s="2"/>
    </row>
    <row r="302" spans="1:11" x14ac:dyDescent="0.25">
      <c r="A302" s="2"/>
      <c r="H302" s="2"/>
      <c r="I302" s="2"/>
      <c r="J302" s="2"/>
      <c r="K302" s="2"/>
    </row>
    <row r="303" spans="1:11" x14ac:dyDescent="0.25">
      <c r="A303" s="2"/>
      <c r="H303" s="2"/>
      <c r="I303" s="2"/>
      <c r="J303" s="2"/>
      <c r="K303" s="2"/>
    </row>
    <row r="304" spans="1:11" x14ac:dyDescent="0.25">
      <c r="A304" s="2"/>
      <c r="H304" s="2"/>
      <c r="I304" s="2"/>
      <c r="J304" s="2"/>
      <c r="K304" s="2"/>
    </row>
    <row r="305" spans="1:11" x14ac:dyDescent="0.25">
      <c r="A305" s="2"/>
      <c r="I305" s="2"/>
      <c r="J305" s="2"/>
      <c r="K305" s="2"/>
    </row>
    <row r="306" spans="1:11" x14ac:dyDescent="0.25">
      <c r="A306" s="2"/>
      <c r="I306" s="2"/>
      <c r="J306" s="2"/>
      <c r="K306" s="2"/>
    </row>
    <row r="307" spans="1:11" x14ac:dyDescent="0.25">
      <c r="A307" s="2"/>
      <c r="I307" s="2"/>
      <c r="J307" s="2"/>
      <c r="K307" s="2"/>
    </row>
    <row r="308" spans="1:11" x14ac:dyDescent="0.25">
      <c r="A308" s="2"/>
      <c r="I308" s="2"/>
      <c r="J308" s="2"/>
      <c r="K308" s="2"/>
    </row>
    <row r="309" spans="1:11" x14ac:dyDescent="0.25">
      <c r="A309" s="2"/>
      <c r="I309" s="2"/>
      <c r="J309" s="2"/>
      <c r="K309" s="2"/>
    </row>
    <row r="310" spans="1:11" x14ac:dyDescent="0.25">
      <c r="A310" s="2"/>
      <c r="I310" s="2"/>
      <c r="J310" s="2"/>
      <c r="K310" s="2"/>
    </row>
    <row r="311" spans="1:11" x14ac:dyDescent="0.25">
      <c r="A311" s="2"/>
      <c r="I311" s="2"/>
      <c r="J311" s="2"/>
      <c r="K311" s="2"/>
    </row>
    <row r="312" spans="1:11" x14ac:dyDescent="0.25">
      <c r="A312" s="2"/>
      <c r="I312" s="2"/>
      <c r="J312" s="2"/>
      <c r="K312" s="2"/>
    </row>
    <row r="313" spans="1:11" x14ac:dyDescent="0.25">
      <c r="A313" s="2"/>
      <c r="I313" s="2"/>
      <c r="J313" s="2"/>
      <c r="K313" s="2"/>
    </row>
    <row r="314" spans="1:11" x14ac:dyDescent="0.25">
      <c r="A314" s="2"/>
      <c r="I314" s="2"/>
      <c r="J314" s="2"/>
      <c r="K314" s="2"/>
    </row>
    <row r="315" spans="1:11" x14ac:dyDescent="0.25">
      <c r="A315" s="2"/>
      <c r="I315" s="2"/>
      <c r="J315" s="2"/>
      <c r="K315" s="2"/>
    </row>
    <row r="316" spans="1:11" x14ac:dyDescent="0.25">
      <c r="A316" s="2"/>
      <c r="I316" s="2"/>
      <c r="J316" s="2"/>
      <c r="K316" s="2"/>
    </row>
    <row r="317" spans="1:11" x14ac:dyDescent="0.25">
      <c r="A317" s="2"/>
      <c r="I317" s="2"/>
      <c r="J317" s="2"/>
      <c r="K317" s="2"/>
    </row>
    <row r="318" spans="1:11" x14ac:dyDescent="0.25">
      <c r="A318" s="2"/>
      <c r="I318" s="2"/>
      <c r="J318" s="2"/>
      <c r="K318" s="2"/>
    </row>
  </sheetData>
  <mergeCells count="48">
    <mergeCell ref="E63:F63"/>
    <mergeCell ref="E64:F64"/>
    <mergeCell ref="E65:F65"/>
    <mergeCell ref="E60:F60"/>
    <mergeCell ref="H22:H28"/>
    <mergeCell ref="H35:H67"/>
    <mergeCell ref="E40:F40"/>
    <mergeCell ref="E41:F41"/>
    <mergeCell ref="E42:F42"/>
    <mergeCell ref="E43:F43"/>
    <mergeCell ref="E62:F62"/>
    <mergeCell ref="E66:F66"/>
    <mergeCell ref="E67:F67"/>
    <mergeCell ref="E44:F44"/>
    <mergeCell ref="E45:F45"/>
    <mergeCell ref="E61:F61"/>
    <mergeCell ref="E48:F48"/>
    <mergeCell ref="E49:F49"/>
    <mergeCell ref="E50:F50"/>
    <mergeCell ref="E58:F58"/>
    <mergeCell ref="E59:F59"/>
    <mergeCell ref="E46:F46"/>
    <mergeCell ref="E47:F47"/>
    <mergeCell ref="E35:F35"/>
    <mergeCell ref="E36:F36"/>
    <mergeCell ref="E37:F37"/>
    <mergeCell ref="E39:F39"/>
    <mergeCell ref="E51:F51"/>
    <mergeCell ref="E52:F52"/>
    <mergeCell ref="E53:F53"/>
    <mergeCell ref="E56:F56"/>
    <mergeCell ref="E57:F57"/>
    <mergeCell ref="E38:F38"/>
    <mergeCell ref="E54:F54"/>
    <mergeCell ref="E55:F55"/>
    <mergeCell ref="J2:O2"/>
    <mergeCell ref="J29:O29"/>
    <mergeCell ref="J17:O17"/>
    <mergeCell ref="J5:O5"/>
    <mergeCell ref="J22:O22"/>
    <mergeCell ref="B3:G3"/>
    <mergeCell ref="J35:O35"/>
    <mergeCell ref="J37:O37"/>
    <mergeCell ref="J40:O40"/>
    <mergeCell ref="J30:O30"/>
    <mergeCell ref="B29:H29"/>
    <mergeCell ref="B31:F31"/>
    <mergeCell ref="H5:H19"/>
  </mergeCells>
  <phoneticPr fontId="24" type="noConversion"/>
  <dataValidations count="6">
    <dataValidation allowBlank="1" showInputMessage="1" showErrorMessage="1" prompt="Date when the exam was completed" sqref="D5:D6" xr:uid="{00000000-0002-0000-0000-000000000000}"/>
    <dataValidation allowBlank="1" errorTitle="Invalid Entry!" error="Please select from the list" promptTitle="Courses" prompt="Please select from the list" sqref="C34" xr:uid="{00000000-0002-0000-0000-000001000000}"/>
    <dataValidation allowBlank="1" showInputMessage="1" errorTitle="Invalid Entry!" error="Please select from the list" sqref="C21" xr:uid="{94CD64A9-A8E2-4492-8AB7-5511994722B5}"/>
    <dataValidation allowBlank="1" showInputMessage="1" showErrorMessage="1" prompt="Please note any extra study leave you received during work hours." sqref="F20 F7:F18" xr:uid="{00000000-0002-0000-0000-000004000000}"/>
    <dataValidation allowBlank="1" showInputMessage="1" showErrorMessage="1" sqref="B31:F31" xr:uid="{919867F7-B786-45BE-8494-870042ED00DD}"/>
    <dataValidation allowBlank="1" showInputMessage="1" showErrorMessage="1" errorTitle="Invalid Entry!" error="Please select from the list" prompt="Please select from the list" sqref="C32 C30" xr:uid="{03C34C96-DABC-42BB-8D09-B99962534635}"/>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errorTitle="Invalid Entry!" error="Please select from the list" prompt="Please select from the list" xr:uid="{00000000-0002-0000-0000-000005000000}">
          <x14:formula1>
            <xm:f>'List - Hide'!$D$2:$D$3</xm:f>
          </x14:formula1>
          <xm:sqref>C7:C20 C33</xm:sqref>
        </x14:dataValidation>
        <x14:dataValidation type="list" allowBlank="1" showInputMessage="1" showErrorMessage="1" errorTitle="Invalid Entry!" error="Please pick from the list!" prompt="Please select from the list" xr:uid="{00000000-0002-0000-0000-000007000000}">
          <x14:formula1>
            <xm:f>'List - Hide'!$C$2:$C$19</xm:f>
          </x14:formula1>
          <xm:sqref>C36:C66</xm:sqref>
        </x14:dataValidation>
        <x14:dataValidation type="list" allowBlank="1" showInputMessage="1" showErrorMessage="1" errorTitle="Invalid Entry!" error="Please pick from the list!" prompt="Please select from the list" xr:uid="{00000000-0002-0000-0000-000006000000}">
          <x14:formula1>
            <xm:f>'List - Hide'!$A$2:$A$17</xm:f>
          </x14:formula1>
          <xm:sqref>C67:C68 C78:C96 C70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28"/>
  <sheetViews>
    <sheetView workbookViewId="0"/>
  </sheetViews>
  <sheetFormatPr defaultColWidth="9.28515625" defaultRowHeight="15" x14ac:dyDescent="0.25"/>
  <cols>
    <col min="1" max="1" width="9.28515625" style="39"/>
    <col min="2" max="2" width="86.28515625" style="39" bestFit="1" customWidth="1"/>
    <col min="3" max="3" width="83.7109375" style="39" customWidth="1"/>
    <col min="4" max="16384" width="9.28515625" style="39"/>
  </cols>
  <sheetData>
    <row r="2" spans="2:3" ht="18.75" x14ac:dyDescent="0.3">
      <c r="B2" s="45" t="s">
        <v>44</v>
      </c>
    </row>
    <row r="4" spans="2:3" x14ac:dyDescent="0.25">
      <c r="B4" s="48" t="s">
        <v>45</v>
      </c>
      <c r="C4" s="46" t="s">
        <v>46</v>
      </c>
    </row>
    <row r="5" spans="2:3" ht="20.100000000000001" customHeight="1" x14ac:dyDescent="0.25">
      <c r="B5" s="49" t="s">
        <v>47</v>
      </c>
      <c r="C5" s="49"/>
    </row>
    <row r="6" spans="2:3" ht="27" customHeight="1" x14ac:dyDescent="0.25">
      <c r="B6" s="49" t="s">
        <v>48</v>
      </c>
      <c r="C6" s="49"/>
    </row>
    <row r="7" spans="2:3" ht="29.25" customHeight="1" x14ac:dyDescent="0.25">
      <c r="B7" s="49" t="s">
        <v>49</v>
      </c>
      <c r="C7" s="49"/>
    </row>
    <row r="8" spans="2:3" ht="20.25" customHeight="1" x14ac:dyDescent="0.25">
      <c r="B8" s="49" t="s">
        <v>50</v>
      </c>
      <c r="C8" s="49" t="s">
        <v>51</v>
      </c>
    </row>
    <row r="9" spans="2:3" ht="51.75" customHeight="1" x14ac:dyDescent="0.25">
      <c r="B9" s="49" t="s">
        <v>52</v>
      </c>
      <c r="C9" s="50" t="s">
        <v>53</v>
      </c>
    </row>
    <row r="10" spans="2:3" ht="30" customHeight="1" x14ac:dyDescent="0.25">
      <c r="B10" s="49" t="s">
        <v>54</v>
      </c>
      <c r="C10" s="49" t="s">
        <v>55</v>
      </c>
    </row>
    <row r="11" spans="2:3" ht="30.75" customHeight="1" x14ac:dyDescent="0.25">
      <c r="B11" s="49" t="s">
        <v>56</v>
      </c>
      <c r="C11" s="49" t="s">
        <v>57</v>
      </c>
    </row>
    <row r="12" spans="2:3" ht="27.75" customHeight="1" x14ac:dyDescent="0.25">
      <c r="B12" s="49" t="s">
        <v>58</v>
      </c>
      <c r="C12" s="49" t="s">
        <v>55</v>
      </c>
    </row>
    <row r="13" spans="2:3" ht="33" customHeight="1" x14ac:dyDescent="0.25">
      <c r="B13" s="49" t="s">
        <v>59</v>
      </c>
      <c r="C13" s="49" t="s">
        <v>60</v>
      </c>
    </row>
    <row r="14" spans="2:3" ht="30.75" customHeight="1" x14ac:dyDescent="0.25">
      <c r="B14" s="49" t="s">
        <v>61</v>
      </c>
      <c r="C14" s="49" t="s">
        <v>62</v>
      </c>
    </row>
    <row r="15" spans="2:3" ht="19.5" customHeight="1" x14ac:dyDescent="0.25">
      <c r="B15" s="49" t="s">
        <v>63</v>
      </c>
      <c r="C15" s="49"/>
    </row>
    <row r="16" spans="2:3" x14ac:dyDescent="0.25">
      <c r="B16" s="47"/>
      <c r="C16" s="47"/>
    </row>
    <row r="17" spans="2:3" x14ac:dyDescent="0.25">
      <c r="B17" s="47"/>
      <c r="C17" s="47"/>
    </row>
    <row r="18" spans="2:3" x14ac:dyDescent="0.25">
      <c r="B18" s="47"/>
      <c r="C18" s="47"/>
    </row>
    <row r="19" spans="2:3" x14ac:dyDescent="0.25">
      <c r="B19" s="47"/>
      <c r="C19" s="47"/>
    </row>
    <row r="20" spans="2:3" x14ac:dyDescent="0.25">
      <c r="B20" s="47"/>
      <c r="C20" s="47"/>
    </row>
    <row r="21" spans="2:3" x14ac:dyDescent="0.25">
      <c r="B21" s="47"/>
      <c r="C21" s="47"/>
    </row>
    <row r="22" spans="2:3" x14ac:dyDescent="0.25">
      <c r="B22" s="47"/>
      <c r="C22" s="47"/>
    </row>
    <row r="23" spans="2:3" x14ac:dyDescent="0.25">
      <c r="B23" s="47"/>
      <c r="C23" s="47"/>
    </row>
    <row r="24" spans="2:3" x14ac:dyDescent="0.25">
      <c r="B24" s="47"/>
      <c r="C24" s="47"/>
    </row>
    <row r="25" spans="2:3" x14ac:dyDescent="0.25">
      <c r="B25" s="47"/>
      <c r="C25" s="47"/>
    </row>
    <row r="26" spans="2:3" x14ac:dyDescent="0.25">
      <c r="B26" s="47"/>
      <c r="C26" s="47"/>
    </row>
    <row r="27" spans="2:3" x14ac:dyDescent="0.25">
      <c r="B27" s="47"/>
      <c r="C27" s="47"/>
    </row>
    <row r="28" spans="2:3" x14ac:dyDescent="0.25">
      <c r="B28" s="47"/>
      <c r="C28" s="47"/>
    </row>
  </sheetData>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0" sqref="H20"/>
    </sheetView>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M319"/>
  <sheetViews>
    <sheetView topLeftCell="A10" workbookViewId="0">
      <selection activeCell="B10" sqref="B10"/>
    </sheetView>
  </sheetViews>
  <sheetFormatPr defaultColWidth="9.28515625" defaultRowHeight="15" x14ac:dyDescent="0.25"/>
  <cols>
    <col min="1" max="1" width="84.28515625" style="39" customWidth="1"/>
    <col min="2" max="2" width="94.28515625" style="39" customWidth="1"/>
    <col min="3" max="3" width="71" style="39" customWidth="1"/>
    <col min="4" max="16384" width="9.28515625" style="39"/>
  </cols>
  <sheetData>
    <row r="1" spans="1:53" x14ac:dyDescent="0.25">
      <c r="A1" s="89" t="s">
        <v>64</v>
      </c>
      <c r="B1" s="40" t="s">
        <v>65</v>
      </c>
      <c r="C1" s="40" t="s">
        <v>66</v>
      </c>
    </row>
    <row r="2" spans="1:53" ht="30" customHeight="1" x14ac:dyDescent="0.25">
      <c r="A2" s="147" t="s">
        <v>67</v>
      </c>
      <c r="B2" s="88" t="s">
        <v>68</v>
      </c>
      <c r="C2" s="87" t="s">
        <v>69</v>
      </c>
      <c r="D2" s="43"/>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row>
    <row r="3" spans="1:53" ht="60" x14ac:dyDescent="0.25">
      <c r="A3" s="147" t="s">
        <v>70</v>
      </c>
      <c r="B3" s="87" t="s">
        <v>71</v>
      </c>
      <c r="C3" s="148" t="s">
        <v>72</v>
      </c>
      <c r="D3" s="43"/>
      <c r="E3" s="43"/>
      <c r="F3" s="43"/>
      <c r="G3" s="43"/>
      <c r="H3" s="43"/>
      <c r="I3" s="43"/>
      <c r="J3" s="43"/>
      <c r="K3" s="43"/>
      <c r="L3" s="43"/>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c r="AS3" s="43"/>
      <c r="AT3" s="43"/>
      <c r="AU3" s="43"/>
      <c r="AV3" s="43"/>
      <c r="AW3" s="43"/>
      <c r="AX3" s="43"/>
      <c r="AY3" s="43"/>
      <c r="AZ3" s="43"/>
      <c r="BA3" s="43"/>
    </row>
    <row r="4" spans="1:53" ht="45" x14ac:dyDescent="0.25">
      <c r="A4" s="86" t="s">
        <v>73</v>
      </c>
      <c r="B4" s="87" t="s">
        <v>74</v>
      </c>
      <c r="C4" s="87" t="s">
        <v>75</v>
      </c>
      <c r="D4" s="43"/>
      <c r="E4" s="43"/>
      <c r="F4" s="43"/>
      <c r="G4" s="43"/>
      <c r="H4" s="43"/>
      <c r="I4" s="43"/>
      <c r="J4" s="43"/>
      <c r="K4" s="43"/>
      <c r="L4" s="43"/>
      <c r="M4" s="43"/>
      <c r="N4" s="43"/>
      <c r="O4" s="43"/>
      <c r="P4" s="43"/>
      <c r="Q4" s="43"/>
      <c r="R4" s="43"/>
      <c r="S4" s="43"/>
      <c r="T4" s="43"/>
      <c r="U4" s="43"/>
      <c r="V4" s="43"/>
      <c r="W4" s="43"/>
      <c r="X4" s="43"/>
      <c r="Y4" s="43"/>
      <c r="Z4" s="43"/>
      <c r="AA4" s="43"/>
      <c r="AB4" s="43"/>
      <c r="AC4" s="43"/>
      <c r="AD4" s="43"/>
      <c r="AE4" s="43"/>
      <c r="AF4" s="43"/>
      <c r="AG4" s="43"/>
      <c r="AH4" s="43"/>
      <c r="AI4" s="43"/>
      <c r="AJ4" s="43"/>
      <c r="AK4" s="43"/>
      <c r="AL4" s="43"/>
      <c r="AM4" s="43"/>
      <c r="AN4" s="43"/>
      <c r="AO4" s="43"/>
      <c r="AP4" s="43"/>
      <c r="AQ4" s="43"/>
      <c r="AR4" s="43"/>
      <c r="AS4" s="43"/>
      <c r="AT4" s="43"/>
      <c r="AU4" s="43"/>
      <c r="AV4" s="43"/>
      <c r="AW4" s="43"/>
      <c r="AX4" s="43"/>
      <c r="AY4" s="43"/>
      <c r="AZ4" s="43"/>
      <c r="BA4" s="43"/>
    </row>
    <row r="5" spans="1:53" ht="45" x14ac:dyDescent="0.25">
      <c r="A5" s="147" t="s">
        <v>76</v>
      </c>
      <c r="B5" s="87" t="s">
        <v>77</v>
      </c>
      <c r="C5" s="87" t="s">
        <v>78</v>
      </c>
      <c r="D5" s="43"/>
      <c r="E5" s="43"/>
      <c r="F5" s="43"/>
      <c r="G5" s="43"/>
      <c r="H5" s="43"/>
      <c r="I5" s="43"/>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c r="AS5" s="43"/>
      <c r="AT5" s="43"/>
      <c r="AU5" s="43"/>
      <c r="AV5" s="43"/>
      <c r="AW5" s="43"/>
      <c r="AX5" s="43"/>
      <c r="AY5" s="43"/>
      <c r="AZ5" s="43"/>
      <c r="BA5" s="43"/>
    </row>
    <row r="6" spans="1:53" ht="30" x14ac:dyDescent="0.25">
      <c r="A6" s="147" t="s">
        <v>79</v>
      </c>
      <c r="B6" s="87" t="s">
        <v>80</v>
      </c>
      <c r="C6" s="87" t="s">
        <v>81</v>
      </c>
      <c r="D6" s="43"/>
      <c r="E6" s="43"/>
      <c r="F6" s="43"/>
      <c r="G6" s="43"/>
      <c r="H6" s="43"/>
      <c r="I6" s="43"/>
      <c r="J6" s="43"/>
      <c r="K6" s="43"/>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c r="AS6" s="43"/>
      <c r="AT6" s="43"/>
      <c r="AU6" s="43"/>
      <c r="AV6" s="43"/>
      <c r="AW6" s="43"/>
      <c r="AX6" s="43"/>
      <c r="AY6" s="43"/>
      <c r="AZ6" s="43"/>
      <c r="BA6" s="43"/>
    </row>
    <row r="7" spans="1:53" ht="30" x14ac:dyDescent="0.25">
      <c r="A7" s="147" t="s">
        <v>82</v>
      </c>
      <c r="B7" s="87" t="s">
        <v>83</v>
      </c>
      <c r="C7" s="148" t="s">
        <v>84</v>
      </c>
      <c r="D7" s="43"/>
      <c r="E7" s="43"/>
      <c r="F7" s="43"/>
      <c r="G7" s="43"/>
      <c r="H7" s="43"/>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c r="AS7" s="43"/>
      <c r="AT7" s="43"/>
      <c r="AU7" s="43"/>
      <c r="AV7" s="43"/>
      <c r="AW7" s="43"/>
      <c r="AX7" s="43"/>
      <c r="AY7" s="43"/>
      <c r="AZ7" s="43"/>
      <c r="BA7" s="43"/>
    </row>
    <row r="8" spans="1:53" ht="30" x14ac:dyDescent="0.25">
      <c r="A8" s="86" t="s">
        <v>85</v>
      </c>
      <c r="B8" s="148" t="s">
        <v>86</v>
      </c>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c r="AS8" s="43"/>
      <c r="AT8" s="43"/>
      <c r="AU8" s="43"/>
      <c r="AV8" s="43"/>
      <c r="AW8" s="43"/>
      <c r="AX8" s="43"/>
      <c r="AY8" s="43"/>
      <c r="AZ8" s="43"/>
      <c r="BA8" s="43"/>
    </row>
    <row r="9" spans="1:53" x14ac:dyDescent="0.25">
      <c r="A9" s="147" t="s">
        <v>87</v>
      </c>
      <c r="B9" s="87" t="s">
        <v>88</v>
      </c>
      <c r="C9" s="43"/>
      <c r="D9" s="43"/>
      <c r="E9" s="43"/>
      <c r="F9" s="43"/>
      <c r="G9" s="43"/>
      <c r="H9" s="43"/>
      <c r="I9" s="43"/>
      <c r="J9" s="43"/>
      <c r="K9" s="43"/>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c r="AS9" s="43"/>
      <c r="AT9" s="43"/>
      <c r="AU9" s="43"/>
      <c r="AV9" s="43"/>
      <c r="AW9" s="43"/>
      <c r="AX9" s="43"/>
      <c r="AY9" s="43"/>
      <c r="AZ9" s="43"/>
      <c r="BA9" s="43"/>
    </row>
    <row r="10" spans="1:53" ht="30" x14ac:dyDescent="0.25">
      <c r="A10" s="147" t="s">
        <v>89</v>
      </c>
      <c r="B10" s="148" t="s">
        <v>90</v>
      </c>
      <c r="C10" s="43"/>
      <c r="D10" s="43"/>
      <c r="E10" s="43"/>
      <c r="F10" s="43"/>
      <c r="G10" s="43"/>
      <c r="H10" s="43"/>
      <c r="I10" s="43"/>
      <c r="J10" s="43"/>
      <c r="K10" s="43"/>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c r="AS10" s="43"/>
      <c r="AT10" s="43"/>
      <c r="AU10" s="43"/>
      <c r="AV10" s="43"/>
      <c r="AW10" s="43"/>
      <c r="AX10" s="43"/>
      <c r="AY10" s="43"/>
      <c r="AZ10" s="43"/>
      <c r="BA10" s="43"/>
    </row>
    <row r="11" spans="1:53" ht="30" x14ac:dyDescent="0.25">
      <c r="A11" s="147" t="s">
        <v>91</v>
      </c>
      <c r="B11" s="87" t="s">
        <v>92</v>
      </c>
      <c r="C11" s="43"/>
      <c r="D11" s="43"/>
      <c r="E11" s="43"/>
      <c r="F11" s="43"/>
      <c r="G11" s="43"/>
      <c r="H11" s="43"/>
      <c r="I11" s="43"/>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c r="AS11" s="43"/>
      <c r="AT11" s="43"/>
      <c r="AU11" s="43"/>
      <c r="AV11" s="43"/>
      <c r="AW11" s="43"/>
      <c r="AX11" s="43"/>
      <c r="AY11" s="43"/>
      <c r="AZ11" s="43"/>
      <c r="BA11" s="43"/>
    </row>
    <row r="12" spans="1:53" ht="30" x14ac:dyDescent="0.25">
      <c r="A12" s="147" t="s">
        <v>93</v>
      </c>
      <c r="B12" s="43" t="s">
        <v>94</v>
      </c>
      <c r="C12" s="43"/>
      <c r="D12" s="43"/>
      <c r="E12" s="43"/>
      <c r="F12" s="43"/>
      <c r="G12" s="43"/>
      <c r="H12" s="43"/>
      <c r="I12" s="43"/>
      <c r="J12" s="43"/>
      <c r="K12" s="43"/>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c r="AS12" s="43"/>
      <c r="AT12" s="43"/>
      <c r="AU12" s="43"/>
      <c r="AV12" s="43"/>
      <c r="AW12" s="43"/>
      <c r="AX12" s="43"/>
      <c r="AY12" s="43"/>
      <c r="AZ12" s="43"/>
      <c r="BA12" s="43"/>
    </row>
    <row r="13" spans="1:53" ht="30" x14ac:dyDescent="0.25">
      <c r="A13" s="86" t="s">
        <v>95</v>
      </c>
      <c r="B13" s="43" t="s">
        <v>96</v>
      </c>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c r="AS13" s="43"/>
      <c r="AT13" s="43"/>
      <c r="AU13" s="43"/>
      <c r="AV13" s="43"/>
      <c r="AW13" s="43"/>
      <c r="AX13" s="43"/>
      <c r="AY13" s="43"/>
      <c r="AZ13" s="43"/>
      <c r="BA13" s="43"/>
    </row>
    <row r="14" spans="1:53" ht="30" x14ac:dyDescent="0.25">
      <c r="A14" s="86" t="s">
        <v>97</v>
      </c>
      <c r="B14" s="43" t="s">
        <v>98</v>
      </c>
      <c r="C14" s="43"/>
      <c r="D14" s="43"/>
      <c r="E14" s="43"/>
      <c r="F14" s="43"/>
      <c r="G14" s="43"/>
      <c r="H14" s="43"/>
      <c r="I14" s="43"/>
      <c r="J14" s="43"/>
      <c r="K14" s="43"/>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c r="AS14" s="43"/>
      <c r="AT14" s="43"/>
      <c r="AU14" s="43"/>
      <c r="AV14" s="43"/>
      <c r="AW14" s="43"/>
      <c r="AX14" s="43"/>
      <c r="AY14" s="43"/>
      <c r="AZ14" s="43"/>
      <c r="BA14" s="43"/>
    </row>
    <row r="15" spans="1:53" ht="45" x14ac:dyDescent="0.25">
      <c r="A15" s="147" t="s">
        <v>99</v>
      </c>
      <c r="B15" s="43" t="s">
        <v>100</v>
      </c>
      <c r="C15" s="43"/>
      <c r="D15" s="43"/>
      <c r="E15" s="43"/>
      <c r="F15" s="43"/>
      <c r="G15" s="43"/>
      <c r="H15" s="43"/>
      <c r="I15" s="43"/>
      <c r="J15" s="43"/>
      <c r="K15" s="43"/>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c r="AS15" s="43"/>
      <c r="AT15" s="43"/>
      <c r="AU15" s="43"/>
      <c r="AV15" s="43"/>
      <c r="AW15" s="43"/>
      <c r="AX15" s="43"/>
      <c r="AY15" s="43"/>
      <c r="AZ15" s="43"/>
      <c r="BA15" s="43"/>
    </row>
    <row r="16" spans="1:53" ht="30" x14ac:dyDescent="0.25">
      <c r="A16" s="86" t="s">
        <v>101</v>
      </c>
      <c r="B16" s="43" t="s">
        <v>102</v>
      </c>
      <c r="C16" s="43"/>
      <c r="D16" s="43"/>
      <c r="E16" s="43"/>
      <c r="F16" s="43"/>
      <c r="G16" s="43"/>
      <c r="H16" s="43"/>
      <c r="I16" s="43"/>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c r="AS16" s="43"/>
      <c r="AT16" s="43"/>
      <c r="AU16" s="43"/>
      <c r="AV16" s="43"/>
      <c r="AW16" s="43"/>
      <c r="AX16" s="43"/>
      <c r="AY16" s="43"/>
      <c r="AZ16" s="43"/>
      <c r="BA16" s="43"/>
    </row>
    <row r="17" spans="1:53" ht="60" x14ac:dyDescent="0.25">
      <c r="A17" s="147" t="s">
        <v>103</v>
      </c>
      <c r="B17" s="43" t="s">
        <v>104</v>
      </c>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row>
    <row r="18" spans="1:53" ht="30" x14ac:dyDescent="0.25">
      <c r="A18" s="147" t="s">
        <v>105</v>
      </c>
      <c r="B18" s="43" t="s">
        <v>106</v>
      </c>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row>
    <row r="19" spans="1:53" ht="30" x14ac:dyDescent="0.25">
      <c r="A19" s="147" t="s">
        <v>107</v>
      </c>
      <c r="B19" s="43" t="s">
        <v>108</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row>
    <row r="20" spans="1:53" x14ac:dyDescent="0.25">
      <c r="A20" s="86" t="s">
        <v>109</v>
      </c>
      <c r="B20" s="43" t="s">
        <v>110</v>
      </c>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row>
    <row r="21" spans="1:53" x14ac:dyDescent="0.25">
      <c r="A21" s="147" t="s">
        <v>111</v>
      </c>
      <c r="B21" s="43" t="s">
        <v>112</v>
      </c>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row>
    <row r="22" spans="1:53" ht="30" x14ac:dyDescent="0.25">
      <c r="A22" s="147" t="s">
        <v>113</v>
      </c>
      <c r="B22" s="43" t="s">
        <v>114</v>
      </c>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c r="AS22" s="43"/>
      <c r="AT22" s="43"/>
      <c r="AU22" s="43"/>
      <c r="AV22" s="43"/>
      <c r="AW22" s="43"/>
      <c r="AX22" s="43"/>
      <c r="AY22" s="43"/>
      <c r="AZ22" s="43"/>
      <c r="BA22" s="43"/>
    </row>
    <row r="23" spans="1:53" ht="30" x14ac:dyDescent="0.25">
      <c r="A23" s="147" t="s">
        <v>115</v>
      </c>
      <c r="B23" s="43" t="s">
        <v>116</v>
      </c>
      <c r="C23" s="43"/>
      <c r="D23" s="43"/>
      <c r="E23" s="43"/>
      <c r="F23" s="43"/>
      <c r="G23" s="43"/>
      <c r="H23" s="43"/>
      <c r="I23" s="43"/>
      <c r="J23" s="43"/>
      <c r="K23" s="43"/>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c r="AS23" s="43"/>
      <c r="AT23" s="43"/>
      <c r="AU23" s="43"/>
      <c r="AV23" s="43"/>
      <c r="AW23" s="43"/>
      <c r="AX23" s="43"/>
      <c r="AY23" s="43"/>
      <c r="AZ23" s="43"/>
      <c r="BA23" s="43"/>
    </row>
    <row r="24" spans="1:53" x14ac:dyDescent="0.25">
      <c r="A24" s="147" t="s">
        <v>117</v>
      </c>
      <c r="B24" s="43" t="s">
        <v>118</v>
      </c>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3"/>
      <c r="BA24" s="43"/>
    </row>
    <row r="25" spans="1:53" ht="30" x14ac:dyDescent="0.25">
      <c r="A25" s="86" t="s">
        <v>119</v>
      </c>
      <c r="B25" s="43" t="s">
        <v>120</v>
      </c>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c r="AS25" s="43"/>
      <c r="AT25" s="43"/>
      <c r="AU25" s="43"/>
      <c r="AV25" s="43"/>
      <c r="AW25" s="43"/>
      <c r="AX25" s="43"/>
      <c r="AY25" s="43"/>
      <c r="AZ25" s="43"/>
      <c r="BA25" s="43"/>
    </row>
    <row r="26" spans="1:53" ht="30" x14ac:dyDescent="0.25">
      <c r="A26" s="147" t="s">
        <v>121</v>
      </c>
      <c r="B26" s="43" t="s">
        <v>122</v>
      </c>
      <c r="C26" s="43"/>
      <c r="D26" s="43"/>
      <c r="E26" s="43"/>
      <c r="F26" s="43"/>
      <c r="G26" s="43"/>
      <c r="H26" s="43"/>
      <c r="I26" s="43"/>
      <c r="J26" s="43"/>
      <c r="K26" s="43"/>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c r="AS26" s="43"/>
      <c r="AT26" s="43"/>
      <c r="AU26" s="43"/>
      <c r="AV26" s="43"/>
      <c r="AW26" s="43"/>
      <c r="AX26" s="43"/>
      <c r="AY26" s="43"/>
      <c r="AZ26" s="43"/>
      <c r="BA26" s="43"/>
    </row>
    <row r="27" spans="1:53" x14ac:dyDescent="0.25">
      <c r="A27" s="147" t="s">
        <v>123</v>
      </c>
      <c r="B27" s="150" t="s">
        <v>124</v>
      </c>
      <c r="C27" s="43"/>
      <c r="D27" s="43"/>
      <c r="E27" s="43"/>
      <c r="F27" s="43"/>
      <c r="G27" s="43"/>
      <c r="H27" s="43"/>
      <c r="I27" s="43"/>
      <c r="J27" s="43"/>
      <c r="K27" s="43"/>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c r="AS27" s="43"/>
      <c r="AT27" s="43"/>
      <c r="AU27" s="43"/>
      <c r="AV27" s="43"/>
      <c r="AW27" s="43"/>
      <c r="AX27" s="43"/>
      <c r="AY27" s="43"/>
      <c r="AZ27" s="43"/>
      <c r="BA27" s="43"/>
    </row>
    <row r="28" spans="1:53" x14ac:dyDescent="0.25">
      <c r="A28" s="86" t="s">
        <v>125</v>
      </c>
      <c r="B28" s="43" t="s">
        <v>126</v>
      </c>
      <c r="C28" s="43"/>
      <c r="D28" s="43"/>
      <c r="E28" s="43"/>
      <c r="F28" s="43"/>
      <c r="G28" s="43"/>
      <c r="H28" s="43"/>
      <c r="I28" s="43"/>
      <c r="J28" s="43"/>
      <c r="K28" s="43"/>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c r="AS28" s="43"/>
      <c r="AT28" s="43"/>
      <c r="AU28" s="43"/>
      <c r="AV28" s="43"/>
      <c r="AW28" s="43"/>
      <c r="AX28" s="43"/>
      <c r="AY28" s="43"/>
      <c r="AZ28" s="43"/>
      <c r="BA28" s="43"/>
    </row>
    <row r="29" spans="1:53" x14ac:dyDescent="0.25">
      <c r="A29" s="86" t="s">
        <v>127</v>
      </c>
      <c r="B29" s="43" t="s">
        <v>128</v>
      </c>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c r="AS29" s="43"/>
      <c r="AT29" s="43"/>
      <c r="AU29" s="43"/>
      <c r="AV29" s="43"/>
      <c r="AW29" s="43"/>
      <c r="AX29" s="43"/>
      <c r="AY29" s="43"/>
      <c r="AZ29" s="43"/>
      <c r="BA29" s="43"/>
    </row>
    <row r="30" spans="1:53" s="86" customFormat="1" ht="30" x14ac:dyDescent="0.25">
      <c r="A30" s="147" t="s">
        <v>129</v>
      </c>
      <c r="B30" s="148" t="s">
        <v>130</v>
      </c>
      <c r="C30" s="87"/>
      <c r="D30" s="87"/>
      <c r="E30" s="87"/>
      <c r="F30" s="87"/>
      <c r="G30" s="87"/>
      <c r="H30" s="87"/>
      <c r="I30" s="87"/>
      <c r="J30" s="87"/>
      <c r="K30" s="87"/>
      <c r="L30" s="87"/>
      <c r="M30" s="87"/>
      <c r="N30" s="87"/>
      <c r="O30" s="87"/>
      <c r="P30" s="87"/>
      <c r="Q30" s="87"/>
      <c r="R30" s="87"/>
      <c r="S30" s="87"/>
      <c r="T30" s="87"/>
      <c r="U30" s="87"/>
      <c r="V30" s="87"/>
      <c r="W30" s="87"/>
      <c r="X30" s="87"/>
      <c r="Y30" s="87"/>
      <c r="Z30" s="87"/>
      <c r="AA30" s="87"/>
      <c r="AB30" s="87"/>
      <c r="AC30" s="87"/>
      <c r="AD30" s="87"/>
      <c r="AE30" s="87"/>
      <c r="AF30" s="87"/>
      <c r="AG30" s="87"/>
      <c r="AH30" s="87"/>
      <c r="AI30" s="87"/>
      <c r="AJ30" s="87"/>
      <c r="AK30" s="87"/>
      <c r="AL30" s="87"/>
      <c r="AM30" s="87"/>
      <c r="AN30" s="87"/>
      <c r="AO30" s="87"/>
      <c r="AP30" s="87"/>
      <c r="AQ30" s="87"/>
      <c r="AR30" s="87"/>
      <c r="AS30" s="87"/>
      <c r="AT30" s="87"/>
      <c r="AU30" s="87"/>
      <c r="AV30" s="87"/>
      <c r="AW30" s="87"/>
      <c r="AX30" s="87"/>
      <c r="AY30" s="87"/>
      <c r="AZ30" s="87"/>
      <c r="BA30" s="87"/>
    </row>
    <row r="31" spans="1:53" ht="30" x14ac:dyDescent="0.25">
      <c r="A31" s="147" t="s">
        <v>131</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c r="AS31" s="43"/>
      <c r="AT31" s="43"/>
      <c r="AU31" s="43"/>
      <c r="AV31" s="43"/>
      <c r="AW31" s="43"/>
      <c r="AX31" s="43"/>
      <c r="AY31" s="43"/>
      <c r="AZ31" s="43"/>
      <c r="BA31" s="43"/>
    </row>
    <row r="32" spans="1:53" x14ac:dyDescent="0.25">
      <c r="B32" s="43"/>
      <c r="C32" s="43"/>
      <c r="D32" s="43"/>
      <c r="E32" s="43"/>
      <c r="F32" s="43"/>
      <c r="G32" s="43"/>
      <c r="H32" s="43"/>
      <c r="I32" s="43"/>
      <c r="J32" s="43"/>
      <c r="K32" s="43"/>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c r="AS32" s="43"/>
      <c r="AT32" s="43"/>
      <c r="AU32" s="43"/>
      <c r="AV32" s="43"/>
      <c r="AW32" s="43"/>
      <c r="AX32" s="43"/>
      <c r="AY32" s="43"/>
      <c r="AZ32" s="43"/>
      <c r="BA32" s="43"/>
    </row>
    <row r="33" spans="2:53" x14ac:dyDescent="0.25">
      <c r="B33" s="43"/>
      <c r="C33" s="43"/>
      <c r="D33" s="43"/>
      <c r="E33" s="43"/>
      <c r="F33" s="43"/>
      <c r="G33" s="43"/>
      <c r="H33" s="43"/>
      <c r="I33" s="43"/>
      <c r="J33" s="43"/>
      <c r="K33" s="43"/>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c r="AS33" s="43"/>
      <c r="AT33" s="43"/>
      <c r="AU33" s="43"/>
      <c r="AV33" s="43"/>
      <c r="AW33" s="43"/>
      <c r="AX33" s="43"/>
      <c r="AY33" s="43"/>
      <c r="AZ33" s="43"/>
      <c r="BA33" s="43"/>
    </row>
    <row r="34" spans="2:53" x14ac:dyDescent="0.25">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c r="AS34" s="43"/>
      <c r="AT34" s="43"/>
      <c r="AU34" s="43"/>
      <c r="AV34" s="43"/>
      <c r="AW34" s="43"/>
      <c r="AX34" s="43"/>
      <c r="AY34" s="43"/>
      <c r="AZ34" s="43"/>
      <c r="BA34" s="43"/>
    </row>
    <row r="35" spans="2:53" x14ac:dyDescent="0.25">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c r="AS35" s="43"/>
      <c r="AT35" s="43"/>
      <c r="AU35" s="43"/>
      <c r="AV35" s="43"/>
      <c r="AW35" s="43"/>
      <c r="AX35" s="43"/>
      <c r="AY35" s="43"/>
      <c r="AZ35" s="43"/>
      <c r="BA35" s="43"/>
    </row>
    <row r="36" spans="2:53" x14ac:dyDescent="0.25">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c r="AS36" s="43"/>
      <c r="AT36" s="43"/>
      <c r="AU36" s="43"/>
      <c r="AV36" s="43"/>
      <c r="AW36" s="43"/>
      <c r="AX36" s="43"/>
      <c r="AY36" s="43"/>
      <c r="AZ36" s="43"/>
      <c r="BA36" s="43"/>
    </row>
    <row r="37" spans="2:53" x14ac:dyDescent="0.25">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c r="AS37" s="43"/>
      <c r="AT37" s="43"/>
      <c r="AU37" s="43"/>
      <c r="AV37" s="43"/>
      <c r="AW37" s="43"/>
      <c r="AX37" s="43"/>
      <c r="AY37" s="43"/>
      <c r="AZ37" s="43"/>
      <c r="BA37" s="43"/>
    </row>
    <row r="38" spans="2:53" x14ac:dyDescent="0.25">
      <c r="B38" s="43"/>
      <c r="C38" s="43"/>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c r="AS38" s="43"/>
      <c r="AT38" s="43"/>
      <c r="AU38" s="43"/>
      <c r="AV38" s="43"/>
      <c r="AW38" s="43"/>
      <c r="AX38" s="43"/>
      <c r="AY38" s="43"/>
      <c r="AZ38" s="43"/>
      <c r="BA38" s="43"/>
    </row>
    <row r="39" spans="2:53" x14ac:dyDescent="0.25">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row>
    <row r="40" spans="2:53" x14ac:dyDescent="0.25">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row>
    <row r="41" spans="2:53" x14ac:dyDescent="0.25">
      <c r="B41" s="43"/>
      <c r="C41" s="43"/>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c r="AS41" s="43"/>
      <c r="AT41" s="43"/>
      <c r="AU41" s="43"/>
      <c r="AV41" s="43"/>
      <c r="AW41" s="43"/>
      <c r="AX41" s="43"/>
      <c r="AY41" s="43"/>
      <c r="AZ41" s="43"/>
      <c r="BA41" s="43"/>
    </row>
    <row r="42" spans="2:53" x14ac:dyDescent="0.25">
      <c r="B42" s="43"/>
      <c r="C42" s="4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c r="AS42" s="43"/>
      <c r="AT42" s="43"/>
      <c r="AU42" s="43"/>
      <c r="AV42" s="43"/>
      <c r="AW42" s="43"/>
      <c r="AX42" s="43"/>
      <c r="AY42" s="43"/>
      <c r="AZ42" s="43"/>
      <c r="BA42" s="43"/>
    </row>
    <row r="43" spans="2:53" x14ac:dyDescent="0.25">
      <c r="B43" s="43"/>
      <c r="C43" s="43"/>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c r="AS43" s="43"/>
      <c r="AT43" s="43"/>
      <c r="AU43" s="43"/>
      <c r="AV43" s="43"/>
      <c r="AW43" s="43"/>
      <c r="AX43" s="43"/>
      <c r="AY43" s="43"/>
      <c r="AZ43" s="43"/>
      <c r="BA43" s="43"/>
    </row>
    <row r="44" spans="2:53" x14ac:dyDescent="0.25">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c r="AS44" s="43"/>
      <c r="AT44" s="43"/>
      <c r="AU44" s="43"/>
      <c r="AV44" s="43"/>
      <c r="AW44" s="43"/>
      <c r="AX44" s="43"/>
      <c r="AY44" s="43"/>
      <c r="AZ44" s="43"/>
      <c r="BA44" s="43"/>
    </row>
    <row r="45" spans="2:53" x14ac:dyDescent="0.25">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row>
    <row r="46" spans="2:53" x14ac:dyDescent="0.25">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row>
    <row r="47" spans="2:53" x14ac:dyDescent="0.25">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row>
    <row r="48" spans="2:53" x14ac:dyDescent="0.25">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row>
    <row r="49" spans="2:53" x14ac:dyDescent="0.25">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row>
    <row r="50" spans="2:53" x14ac:dyDescent="0.25">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row>
    <row r="51" spans="2:53" x14ac:dyDescent="0.25">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row>
    <row r="52" spans="2:53" x14ac:dyDescent="0.25">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row>
    <row r="53" spans="2:53" x14ac:dyDescent="0.25">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row>
    <row r="54" spans="2:53" x14ac:dyDescent="0.25">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row>
    <row r="55" spans="2:53" x14ac:dyDescent="0.25">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row>
    <row r="56" spans="2:53" x14ac:dyDescent="0.25">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row>
    <row r="57" spans="2:53" x14ac:dyDescent="0.25">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row>
    <row r="58" spans="2:53" x14ac:dyDescent="0.25">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row>
    <row r="59" spans="2:53" x14ac:dyDescent="0.25">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row>
    <row r="60" spans="2:53" x14ac:dyDescent="0.25">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row>
    <row r="61" spans="2:53" x14ac:dyDescent="0.25">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row>
    <row r="62" spans="2:53" x14ac:dyDescent="0.25">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row>
    <row r="63" spans="2:53" x14ac:dyDescent="0.25">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row>
    <row r="64" spans="2:53" x14ac:dyDescent="0.25">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row>
    <row r="65" spans="2:53" x14ac:dyDescent="0.25">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c r="AS65" s="43"/>
      <c r="AT65" s="43"/>
      <c r="AU65" s="43"/>
      <c r="AV65" s="43"/>
      <c r="AW65" s="43"/>
      <c r="AX65" s="43"/>
      <c r="AY65" s="43"/>
      <c r="AZ65" s="43"/>
      <c r="BA65" s="43"/>
    </row>
    <row r="66" spans="2:53" x14ac:dyDescent="0.25">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c r="AS66" s="43"/>
      <c r="AT66" s="43"/>
      <c r="AU66" s="43"/>
      <c r="AV66" s="43"/>
      <c r="AW66" s="43"/>
      <c r="AX66" s="43"/>
      <c r="AY66" s="43"/>
      <c r="AZ66" s="43"/>
      <c r="BA66" s="43"/>
    </row>
    <row r="67" spans="2:53" x14ac:dyDescent="0.25">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c r="AS67" s="43"/>
      <c r="AT67" s="43"/>
      <c r="AU67" s="43"/>
      <c r="AV67" s="43"/>
      <c r="AW67" s="43"/>
      <c r="AX67" s="43"/>
      <c r="AY67" s="43"/>
      <c r="AZ67" s="43"/>
      <c r="BA67" s="43"/>
    </row>
    <row r="68" spans="2:53" x14ac:dyDescent="0.25">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c r="AS68" s="43"/>
      <c r="AT68" s="43"/>
      <c r="AU68" s="43"/>
      <c r="AV68" s="43"/>
      <c r="AW68" s="43"/>
      <c r="AX68" s="43"/>
      <c r="AY68" s="43"/>
      <c r="AZ68" s="43"/>
      <c r="BA68" s="43"/>
    </row>
    <row r="69" spans="2:53" x14ac:dyDescent="0.25">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c r="AS69" s="43"/>
      <c r="AT69" s="43"/>
      <c r="AU69" s="43"/>
      <c r="AV69" s="43"/>
      <c r="AW69" s="43"/>
      <c r="AX69" s="43"/>
      <c r="AY69" s="43"/>
      <c r="AZ69" s="43"/>
      <c r="BA69" s="43"/>
    </row>
    <row r="70" spans="2:53" x14ac:dyDescent="0.25">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c r="AS70" s="43"/>
      <c r="AT70" s="43"/>
      <c r="AU70" s="43"/>
      <c r="AV70" s="43"/>
      <c r="AW70" s="43"/>
      <c r="AX70" s="43"/>
      <c r="AY70" s="43"/>
      <c r="AZ70" s="43"/>
      <c r="BA70" s="43"/>
    </row>
    <row r="71" spans="2:53" x14ac:dyDescent="0.25">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c r="AS71" s="43"/>
      <c r="AT71" s="43"/>
      <c r="AU71" s="43"/>
      <c r="AV71" s="43"/>
      <c r="AW71" s="43"/>
      <c r="AX71" s="43"/>
      <c r="AY71" s="43"/>
      <c r="AZ71" s="43"/>
      <c r="BA71" s="43"/>
    </row>
    <row r="72" spans="2:53" x14ac:dyDescent="0.25">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c r="AS72" s="43"/>
      <c r="AT72" s="43"/>
      <c r="AU72" s="43"/>
      <c r="AV72" s="43"/>
      <c r="AW72" s="43"/>
      <c r="AX72" s="43"/>
      <c r="AY72" s="43"/>
      <c r="AZ72" s="43"/>
      <c r="BA72" s="43"/>
    </row>
    <row r="73" spans="2:53" x14ac:dyDescent="0.25">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c r="AS73" s="43"/>
      <c r="AT73" s="43"/>
      <c r="AU73" s="43"/>
      <c r="AV73" s="43"/>
      <c r="AW73" s="43"/>
      <c r="AX73" s="43"/>
      <c r="AY73" s="43"/>
      <c r="AZ73" s="43"/>
      <c r="BA73" s="43"/>
    </row>
    <row r="74" spans="2:53" x14ac:dyDescent="0.25">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c r="AS74" s="43"/>
      <c r="AT74" s="43"/>
      <c r="AU74" s="43"/>
      <c r="AV74" s="43"/>
      <c r="AW74" s="43"/>
      <c r="AX74" s="43"/>
      <c r="AY74" s="43"/>
      <c r="AZ74" s="43"/>
      <c r="BA74" s="43"/>
    </row>
    <row r="75" spans="2:53" x14ac:dyDescent="0.25">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c r="AS75" s="43"/>
      <c r="AT75" s="43"/>
      <c r="AU75" s="43"/>
      <c r="AV75" s="43"/>
      <c r="AW75" s="43"/>
      <c r="AX75" s="43"/>
      <c r="AY75" s="43"/>
      <c r="AZ75" s="43"/>
      <c r="BA75" s="43"/>
    </row>
    <row r="76" spans="2:53" x14ac:dyDescent="0.25">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c r="AS76" s="43"/>
      <c r="AT76" s="43"/>
      <c r="AU76" s="43"/>
      <c r="AV76" s="43"/>
      <c r="AW76" s="43"/>
      <c r="AX76" s="43"/>
      <c r="AY76" s="43"/>
      <c r="AZ76" s="43"/>
      <c r="BA76" s="43"/>
    </row>
    <row r="77" spans="2:53" x14ac:dyDescent="0.25">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c r="AS77" s="43"/>
      <c r="AT77" s="43"/>
      <c r="AU77" s="43"/>
      <c r="AV77" s="43"/>
      <c r="AW77" s="43"/>
      <c r="AX77" s="43"/>
      <c r="AY77" s="43"/>
      <c r="AZ77" s="43"/>
      <c r="BA77" s="43"/>
    </row>
    <row r="78" spans="2:53" x14ac:dyDescent="0.25">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c r="AS78" s="43"/>
      <c r="AT78" s="43"/>
      <c r="AU78" s="43"/>
      <c r="AV78" s="43"/>
      <c r="AW78" s="43"/>
      <c r="AX78" s="43"/>
      <c r="AY78" s="43"/>
      <c r="AZ78" s="43"/>
      <c r="BA78" s="43"/>
    </row>
    <row r="79" spans="2:53" x14ac:dyDescent="0.25">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c r="AS79" s="43"/>
      <c r="AT79" s="43"/>
      <c r="AU79" s="43"/>
      <c r="AV79" s="43"/>
      <c r="AW79" s="43"/>
      <c r="AX79" s="43"/>
      <c r="AY79" s="43"/>
      <c r="AZ79" s="43"/>
      <c r="BA79" s="43"/>
    </row>
    <row r="80" spans="2:53" x14ac:dyDescent="0.25">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c r="AS80" s="43"/>
      <c r="AT80" s="43"/>
      <c r="AU80" s="43"/>
      <c r="AV80" s="43"/>
      <c r="AW80" s="43"/>
      <c r="AX80" s="43"/>
      <c r="AY80" s="43"/>
      <c r="AZ80" s="43"/>
      <c r="BA80" s="43"/>
    </row>
    <row r="81" spans="2:65" x14ac:dyDescent="0.25">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c r="AS81" s="43"/>
      <c r="AT81" s="43"/>
      <c r="AU81" s="43"/>
      <c r="AV81" s="43"/>
      <c r="AW81" s="43"/>
      <c r="AX81" s="43"/>
      <c r="AY81" s="43"/>
      <c r="AZ81" s="43"/>
      <c r="BA81" s="43"/>
    </row>
    <row r="82" spans="2:65" x14ac:dyDescent="0.25">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c r="AS82" s="43"/>
      <c r="AT82" s="43"/>
      <c r="AU82" s="43"/>
      <c r="AV82" s="43"/>
      <c r="AW82" s="43"/>
      <c r="AX82" s="43"/>
      <c r="AY82" s="43"/>
      <c r="AZ82" s="43"/>
      <c r="BA82" s="43"/>
    </row>
    <row r="83" spans="2:65" x14ac:dyDescent="0.25">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c r="AS83" s="43"/>
      <c r="AT83" s="43"/>
      <c r="AU83" s="43"/>
      <c r="AV83" s="43"/>
      <c r="AW83" s="43"/>
      <c r="AX83" s="43"/>
      <c r="AY83" s="43"/>
      <c r="AZ83" s="43"/>
      <c r="BA83" s="43"/>
    </row>
    <row r="84" spans="2:65" x14ac:dyDescent="0.25">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c r="AS84" s="43"/>
      <c r="AT84" s="43"/>
      <c r="AU84" s="43"/>
      <c r="AV84" s="43"/>
      <c r="AW84" s="43"/>
      <c r="AX84" s="43"/>
      <c r="AY84" s="43"/>
      <c r="AZ84" s="43"/>
      <c r="BA84" s="43"/>
    </row>
    <row r="85" spans="2:65" x14ac:dyDescent="0.25">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c r="AS85" s="43"/>
      <c r="AT85" s="43"/>
      <c r="AU85" s="43"/>
      <c r="AV85" s="43"/>
      <c r="AW85" s="43"/>
      <c r="AX85" s="43"/>
      <c r="AY85" s="43"/>
      <c r="AZ85" s="43"/>
      <c r="BA85" s="43"/>
    </row>
    <row r="86" spans="2:65" x14ac:dyDescent="0.25">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row>
    <row r="87" spans="2:65" x14ac:dyDescent="0.25">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c r="AS87" s="43"/>
      <c r="AT87" s="43"/>
      <c r="AU87" s="43"/>
      <c r="AV87" s="43"/>
      <c r="AW87" s="43"/>
      <c r="AX87" s="43"/>
      <c r="AY87" s="43"/>
      <c r="AZ87" s="43"/>
      <c r="BA87" s="43"/>
    </row>
    <row r="88" spans="2:65" x14ac:dyDescent="0.25">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row>
    <row r="89" spans="2:65" x14ac:dyDescent="0.25">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row>
    <row r="90" spans="2:65" x14ac:dyDescent="0.25">
      <c r="B90" s="43"/>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row>
    <row r="91" spans="2:65" x14ac:dyDescent="0.25">
      <c r="B91" s="43"/>
      <c r="C91" s="43"/>
      <c r="D91" s="43"/>
      <c r="E91" s="43"/>
      <c r="F91" s="43"/>
      <c r="G91" s="43"/>
      <c r="H91" s="43"/>
      <c r="I91" s="43"/>
      <c r="J91" s="43"/>
      <c r="K91" s="43"/>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row>
    <row r="92" spans="2:65" x14ac:dyDescent="0.25">
      <c r="B92" s="43"/>
      <c r="C92" s="43"/>
      <c r="D92" s="43"/>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row>
    <row r="93" spans="2:65" x14ac:dyDescent="0.25">
      <c r="B93" s="43"/>
      <c r="C93" s="43"/>
      <c r="D93" s="43"/>
      <c r="E93" s="43"/>
      <c r="F93" s="43"/>
      <c r="G93" s="43"/>
      <c r="H93" s="43"/>
      <c r="I93" s="43"/>
      <c r="J93" s="43"/>
      <c r="K93" s="43"/>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row>
    <row r="94" spans="2:65" x14ac:dyDescent="0.25">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row>
    <row r="95" spans="2:65" x14ac:dyDescent="0.25">
      <c r="B95" s="43"/>
      <c r="C95" s="43"/>
      <c r="D95" s="43"/>
      <c r="E95" s="43"/>
      <c r="F95" s="43"/>
      <c r="G95" s="43"/>
      <c r="H95" s="43"/>
      <c r="I95" s="43"/>
      <c r="J95" s="43"/>
      <c r="K95" s="43"/>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row>
    <row r="96" spans="2:65" x14ac:dyDescent="0.25">
      <c r="B96" s="43"/>
      <c r="C96" s="43"/>
      <c r="D96" s="43"/>
      <c r="E96" s="43"/>
      <c r="F96" s="43"/>
      <c r="G96" s="43"/>
      <c r="H96" s="43"/>
      <c r="I96" s="43"/>
      <c r="J96" s="43"/>
      <c r="K96" s="43"/>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row>
    <row r="97" spans="2:65" x14ac:dyDescent="0.25">
      <c r="B97" s="43"/>
      <c r="C97" s="43"/>
      <c r="D97" s="43"/>
      <c r="E97" s="43"/>
      <c r="F97" s="43"/>
      <c r="G97" s="43"/>
      <c r="H97" s="43"/>
      <c r="I97" s="43"/>
      <c r="J97" s="43"/>
      <c r="K97" s="43"/>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row>
    <row r="98" spans="2:65" x14ac:dyDescent="0.25">
      <c r="B98" s="43"/>
      <c r="C98" s="43"/>
      <c r="D98" s="43"/>
      <c r="E98" s="43"/>
      <c r="F98" s="43"/>
      <c r="G98" s="43"/>
      <c r="H98" s="43"/>
      <c r="I98" s="43"/>
      <c r="J98" s="43"/>
      <c r="K98" s="43"/>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row>
    <row r="99" spans="2:65" x14ac:dyDescent="0.25">
      <c r="B99" s="43"/>
      <c r="C99" s="43"/>
      <c r="D99" s="43"/>
      <c r="E99" s="43"/>
      <c r="F99" s="43"/>
      <c r="G99" s="43"/>
      <c r="H99" s="43"/>
      <c r="I99" s="43"/>
      <c r="J99" s="43"/>
      <c r="K99" s="43"/>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row>
    <row r="100" spans="2:65" x14ac:dyDescent="0.25">
      <c r="B100" s="43"/>
      <c r="C100" s="43"/>
      <c r="D100" s="43"/>
      <c r="E100" s="43"/>
      <c r="F100" s="43"/>
      <c r="G100" s="43"/>
      <c r="H100" s="43"/>
      <c r="I100" s="43"/>
      <c r="J100" s="43"/>
      <c r="K100" s="43"/>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row>
    <row r="101" spans="2:65" x14ac:dyDescent="0.25">
      <c r="B101" s="43"/>
      <c r="C101" s="43"/>
      <c r="D101" s="43"/>
      <c r="E101" s="43"/>
      <c r="F101" s="43"/>
      <c r="G101" s="43"/>
      <c r="H101" s="43"/>
      <c r="I101" s="43"/>
      <c r="J101" s="43"/>
      <c r="K101" s="43"/>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row>
    <row r="102" spans="2:65" x14ac:dyDescent="0.25">
      <c r="B102" s="43"/>
      <c r="C102" s="43"/>
      <c r="D102" s="43"/>
      <c r="E102" s="43"/>
      <c r="F102" s="43"/>
      <c r="G102" s="43"/>
      <c r="H102" s="43"/>
      <c r="I102" s="43"/>
      <c r="J102" s="43"/>
      <c r="K102" s="43"/>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row>
    <row r="103" spans="2:65" x14ac:dyDescent="0.25">
      <c r="B103" s="43"/>
      <c r="C103" s="43"/>
      <c r="D103" s="43"/>
      <c r="E103" s="43"/>
      <c r="F103" s="43"/>
      <c r="G103" s="43"/>
      <c r="H103" s="43"/>
      <c r="I103" s="43"/>
      <c r="J103" s="43"/>
      <c r="K103" s="43"/>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row>
    <row r="104" spans="2:65" x14ac:dyDescent="0.25">
      <c r="B104" s="43"/>
      <c r="C104" s="43"/>
      <c r="D104" s="43"/>
      <c r="E104" s="43"/>
      <c r="F104" s="43"/>
      <c r="G104" s="43"/>
      <c r="H104" s="43"/>
      <c r="I104" s="43"/>
      <c r="J104" s="43"/>
      <c r="K104" s="43"/>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row>
    <row r="105" spans="2:65" x14ac:dyDescent="0.25">
      <c r="B105" s="43"/>
      <c r="C105" s="43"/>
      <c r="D105" s="43"/>
      <c r="E105" s="43"/>
      <c r="F105" s="43"/>
      <c r="G105" s="43"/>
      <c r="H105" s="43"/>
      <c r="I105" s="43"/>
      <c r="J105" s="43"/>
      <c r="K105" s="43"/>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row>
    <row r="106" spans="2:65" x14ac:dyDescent="0.25">
      <c r="B106" s="43"/>
      <c r="C106" s="43"/>
      <c r="D106" s="43"/>
      <c r="E106" s="43"/>
      <c r="F106" s="43"/>
      <c r="G106" s="43"/>
      <c r="H106" s="43"/>
      <c r="I106" s="43"/>
      <c r="J106" s="43"/>
      <c r="K106" s="43"/>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row>
    <row r="107" spans="2:65" x14ac:dyDescent="0.25">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row>
    <row r="108" spans="2:65" x14ac:dyDescent="0.25">
      <c r="B108" s="43"/>
      <c r="C108" s="43"/>
      <c r="D108" s="43"/>
      <c r="E108" s="43"/>
      <c r="F108" s="43"/>
      <c r="G108" s="43"/>
      <c r="H108" s="43"/>
      <c r="I108" s="43"/>
      <c r="J108" s="43"/>
      <c r="K108" s="43"/>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row>
    <row r="109" spans="2:65" x14ac:dyDescent="0.25">
      <c r="B109" s="43"/>
      <c r="C109" s="43"/>
      <c r="D109" s="43"/>
      <c r="E109" s="43"/>
      <c r="F109" s="43"/>
      <c r="G109" s="43"/>
      <c r="H109" s="43"/>
      <c r="I109" s="43"/>
      <c r="J109" s="43"/>
      <c r="K109" s="43"/>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row>
    <row r="110" spans="2:65" x14ac:dyDescent="0.25">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row>
    <row r="111" spans="2:65" x14ac:dyDescent="0.25">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row>
    <row r="112" spans="2:65" x14ac:dyDescent="0.25">
      <c r="B112" s="43"/>
      <c r="C112" s="43"/>
      <c r="D112" s="43"/>
      <c r="E112" s="43"/>
      <c r="F112" s="43"/>
      <c r="G112" s="43"/>
      <c r="H112" s="43"/>
      <c r="I112" s="43"/>
      <c r="J112" s="43"/>
      <c r="K112" s="43"/>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row>
    <row r="113" spans="2:65" x14ac:dyDescent="0.25">
      <c r="B113" s="43"/>
      <c r="C113" s="43"/>
      <c r="D113" s="43"/>
      <c r="E113" s="43"/>
      <c r="F113" s="43"/>
      <c r="G113" s="43"/>
      <c r="H113" s="43"/>
      <c r="I113" s="43"/>
      <c r="J113" s="43"/>
      <c r="K113" s="43"/>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row>
    <row r="114" spans="2:65" x14ac:dyDescent="0.25">
      <c r="B114" s="43"/>
      <c r="C114" s="43"/>
      <c r="D114" s="43"/>
      <c r="E114" s="43"/>
      <c r="F114" s="43"/>
      <c r="G114" s="43"/>
      <c r="H114" s="43"/>
      <c r="I114" s="43"/>
      <c r="J114" s="43"/>
      <c r="K114" s="43"/>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row>
    <row r="115" spans="2:65" x14ac:dyDescent="0.25">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c r="AF115" s="43"/>
    </row>
    <row r="116" spans="2:65" x14ac:dyDescent="0.25">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c r="AF116" s="43"/>
    </row>
    <row r="117" spans="2:65" x14ac:dyDescent="0.25">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c r="Z117" s="43"/>
      <c r="AA117" s="43"/>
      <c r="AB117" s="43"/>
      <c r="AC117" s="43"/>
      <c r="AD117" s="43"/>
      <c r="AE117" s="43"/>
      <c r="AF117" s="43"/>
    </row>
    <row r="118" spans="2:65" x14ac:dyDescent="0.25">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c r="Z118" s="43"/>
      <c r="AA118" s="43"/>
      <c r="AB118" s="43"/>
      <c r="AC118" s="43"/>
      <c r="AD118" s="43"/>
      <c r="AE118" s="43"/>
      <c r="AF118" s="43"/>
    </row>
    <row r="119" spans="2:65" x14ac:dyDescent="0.25">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c r="Z119" s="43"/>
      <c r="AA119" s="43"/>
      <c r="AB119" s="43"/>
      <c r="AC119" s="43"/>
      <c r="AD119" s="43"/>
      <c r="AE119" s="43"/>
      <c r="AF119" s="43"/>
    </row>
    <row r="120" spans="2:65" x14ac:dyDescent="0.25">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c r="Z120" s="43"/>
      <c r="AA120" s="43"/>
      <c r="AB120" s="43"/>
      <c r="AC120" s="43"/>
      <c r="AD120" s="43"/>
      <c r="AE120" s="43"/>
      <c r="AF120" s="43"/>
    </row>
    <row r="121" spans="2:65" x14ac:dyDescent="0.25">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c r="AF121" s="43"/>
    </row>
    <row r="122" spans="2:65" x14ac:dyDescent="0.25">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c r="Z122" s="43"/>
      <c r="AA122" s="43"/>
      <c r="AB122" s="43"/>
      <c r="AC122" s="43"/>
      <c r="AD122" s="43"/>
      <c r="AE122" s="43"/>
      <c r="AF122" s="43"/>
    </row>
    <row r="123" spans="2:65" x14ac:dyDescent="0.25">
      <c r="B123" s="43"/>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3"/>
      <c r="AA123" s="43"/>
      <c r="AB123" s="43"/>
      <c r="AC123" s="43"/>
      <c r="AD123" s="43"/>
      <c r="AE123" s="43"/>
      <c r="AF123" s="43"/>
    </row>
    <row r="124" spans="2:65" x14ac:dyDescent="0.25">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row>
    <row r="125" spans="2:65" x14ac:dyDescent="0.25">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row>
    <row r="126" spans="2:65" x14ac:dyDescent="0.25">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2:65" x14ac:dyDescent="0.25">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row>
    <row r="128" spans="2:65" x14ac:dyDescent="0.25">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row>
    <row r="129" spans="2:32" x14ac:dyDescent="0.25">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row>
    <row r="130" spans="2:32" x14ac:dyDescent="0.25">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row>
    <row r="131" spans="2:32" x14ac:dyDescent="0.25">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c r="Z131" s="43"/>
      <c r="AA131" s="43"/>
      <c r="AB131" s="43"/>
      <c r="AC131" s="43"/>
      <c r="AD131" s="43"/>
      <c r="AE131" s="43"/>
      <c r="AF131" s="43"/>
    </row>
    <row r="132" spans="2:32" x14ac:dyDescent="0.25">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c r="Z132" s="43"/>
      <c r="AA132" s="43"/>
      <c r="AB132" s="43"/>
      <c r="AC132" s="43"/>
      <c r="AD132" s="43"/>
      <c r="AE132" s="43"/>
      <c r="AF132" s="43"/>
    </row>
    <row r="133" spans="2:32" x14ac:dyDescent="0.25">
      <c r="B133" s="43"/>
      <c r="C133" s="43"/>
      <c r="D133" s="43"/>
      <c r="E133" s="43"/>
      <c r="F133" s="43"/>
      <c r="G133" s="43"/>
      <c r="H133" s="43"/>
      <c r="I133" s="43"/>
      <c r="J133" s="43"/>
      <c r="K133" s="43"/>
      <c r="L133" s="43"/>
      <c r="M133" s="43"/>
      <c r="N133" s="43"/>
      <c r="O133" s="43"/>
      <c r="P133" s="43"/>
      <c r="Q133" s="43"/>
      <c r="R133" s="43"/>
      <c r="S133" s="43"/>
      <c r="T133" s="43"/>
      <c r="U133" s="43"/>
      <c r="V133" s="43"/>
      <c r="W133" s="43"/>
      <c r="X133" s="43"/>
      <c r="Y133" s="43"/>
      <c r="Z133" s="43"/>
      <c r="AA133" s="43"/>
      <c r="AB133" s="43"/>
      <c r="AC133" s="43"/>
      <c r="AD133" s="43"/>
      <c r="AE133" s="43"/>
      <c r="AF133" s="43"/>
    </row>
    <row r="134" spans="2:32" x14ac:dyDescent="0.25">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c r="Z134" s="43"/>
      <c r="AA134" s="43"/>
      <c r="AB134" s="43"/>
      <c r="AC134" s="43"/>
      <c r="AD134" s="43"/>
      <c r="AE134" s="43"/>
      <c r="AF134" s="43"/>
    </row>
    <row r="135" spans="2:32" x14ac:dyDescent="0.25">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3"/>
      <c r="AA135" s="43"/>
      <c r="AB135" s="43"/>
      <c r="AC135" s="43"/>
      <c r="AD135" s="43"/>
      <c r="AE135" s="43"/>
      <c r="AF135" s="43"/>
    </row>
    <row r="136" spans="2:32" x14ac:dyDescent="0.25">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c r="Z136" s="43"/>
      <c r="AA136" s="43"/>
      <c r="AB136" s="43"/>
      <c r="AC136" s="43"/>
      <c r="AD136" s="43"/>
      <c r="AE136" s="43"/>
      <c r="AF136" s="43"/>
    </row>
    <row r="137" spans="2:32" x14ac:dyDescent="0.25">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c r="Z137" s="43"/>
      <c r="AA137" s="43"/>
      <c r="AB137" s="43"/>
      <c r="AC137" s="43"/>
      <c r="AD137" s="43"/>
      <c r="AE137" s="43"/>
      <c r="AF137" s="43"/>
    </row>
    <row r="138" spans="2:32" x14ac:dyDescent="0.25">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row>
    <row r="139" spans="2:32" x14ac:dyDescent="0.25">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c r="Z139" s="43"/>
      <c r="AA139" s="43"/>
      <c r="AB139" s="43"/>
      <c r="AC139" s="43"/>
      <c r="AD139" s="43"/>
      <c r="AE139" s="43"/>
      <c r="AF139" s="43"/>
    </row>
    <row r="140" spans="2:32" x14ac:dyDescent="0.25">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3"/>
      <c r="AA140" s="43"/>
      <c r="AB140" s="43"/>
      <c r="AC140" s="43"/>
      <c r="AD140" s="43"/>
      <c r="AE140" s="43"/>
      <c r="AF140" s="43"/>
    </row>
    <row r="141" spans="2:32" x14ac:dyDescent="0.25">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c r="Z141" s="43"/>
      <c r="AA141" s="43"/>
      <c r="AB141" s="43"/>
      <c r="AC141" s="43"/>
      <c r="AD141" s="43"/>
      <c r="AE141" s="43"/>
      <c r="AF141" s="43"/>
    </row>
    <row r="142" spans="2:32" x14ac:dyDescent="0.25">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c r="Z142" s="43"/>
      <c r="AA142" s="43"/>
      <c r="AB142" s="43"/>
      <c r="AC142" s="43"/>
      <c r="AD142" s="43"/>
      <c r="AE142" s="43"/>
      <c r="AF142" s="43"/>
    </row>
    <row r="143" spans="2:32" x14ac:dyDescent="0.25">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c r="Z143" s="43"/>
      <c r="AA143" s="43"/>
      <c r="AB143" s="43"/>
      <c r="AC143" s="43"/>
      <c r="AD143" s="43"/>
      <c r="AE143" s="43"/>
      <c r="AF143" s="43"/>
    </row>
    <row r="144" spans="2:32" x14ac:dyDescent="0.25">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c r="Z144" s="43"/>
      <c r="AA144" s="43"/>
      <c r="AB144" s="43"/>
      <c r="AC144" s="43"/>
      <c r="AD144" s="43"/>
      <c r="AE144" s="43"/>
      <c r="AF144" s="43"/>
    </row>
    <row r="145" spans="2:32" x14ac:dyDescent="0.25">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c r="Z145" s="43"/>
      <c r="AA145" s="43"/>
      <c r="AB145" s="43"/>
      <c r="AC145" s="43"/>
      <c r="AD145" s="43"/>
      <c r="AE145" s="43"/>
      <c r="AF145" s="43"/>
    </row>
    <row r="146" spans="2:32" x14ac:dyDescent="0.25">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3"/>
      <c r="AA146" s="43"/>
      <c r="AB146" s="43"/>
      <c r="AC146" s="43"/>
      <c r="AD146" s="43"/>
      <c r="AE146" s="43"/>
      <c r="AF146" s="43"/>
    </row>
    <row r="147" spans="2:32" x14ac:dyDescent="0.25">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c r="Z147" s="43"/>
      <c r="AA147" s="43"/>
      <c r="AB147" s="43"/>
      <c r="AC147" s="43"/>
      <c r="AD147" s="43"/>
      <c r="AE147" s="43"/>
      <c r="AF147" s="43"/>
    </row>
    <row r="148" spans="2:32" x14ac:dyDescent="0.25">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row>
    <row r="149" spans="2:32" x14ac:dyDescent="0.25">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3"/>
      <c r="AA149" s="43"/>
      <c r="AB149" s="43"/>
      <c r="AC149" s="43"/>
      <c r="AD149" s="43"/>
      <c r="AE149" s="43"/>
      <c r="AF149" s="43"/>
    </row>
    <row r="150" spans="2:32" x14ac:dyDescent="0.25">
      <c r="B150" s="43"/>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3"/>
      <c r="AA150" s="43"/>
      <c r="AB150" s="43"/>
      <c r="AC150" s="43"/>
      <c r="AD150" s="43"/>
      <c r="AE150" s="43"/>
      <c r="AF150" s="43"/>
    </row>
    <row r="151" spans="2:32" x14ac:dyDescent="0.25">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3"/>
      <c r="AA151" s="43"/>
      <c r="AB151" s="43"/>
      <c r="AC151" s="43"/>
      <c r="AD151" s="43"/>
      <c r="AE151" s="43"/>
      <c r="AF151" s="43"/>
    </row>
    <row r="152" spans="2:32" x14ac:dyDescent="0.25">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row>
    <row r="153" spans="2:32" x14ac:dyDescent="0.25">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3"/>
      <c r="AA153" s="43"/>
      <c r="AB153" s="43"/>
      <c r="AC153" s="43"/>
      <c r="AD153" s="43"/>
      <c r="AE153" s="43"/>
      <c r="AF153" s="43"/>
    </row>
    <row r="154" spans="2:32" x14ac:dyDescent="0.25">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3"/>
      <c r="AA154" s="43"/>
      <c r="AB154" s="43"/>
      <c r="AC154" s="43"/>
      <c r="AD154" s="43"/>
      <c r="AE154" s="43"/>
      <c r="AF154" s="43"/>
    </row>
    <row r="155" spans="2:32" x14ac:dyDescent="0.25">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3"/>
      <c r="AA155" s="43"/>
      <c r="AB155" s="43"/>
      <c r="AC155" s="43"/>
      <c r="AD155" s="43"/>
      <c r="AE155" s="43"/>
      <c r="AF155" s="43"/>
    </row>
    <row r="156" spans="2:32" x14ac:dyDescent="0.25">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3"/>
      <c r="AA156" s="43"/>
      <c r="AB156" s="43"/>
      <c r="AC156" s="43"/>
      <c r="AD156" s="43"/>
      <c r="AE156" s="43"/>
      <c r="AF156" s="43"/>
    </row>
    <row r="157" spans="2:32" x14ac:dyDescent="0.25">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c r="AA157" s="43"/>
      <c r="AB157" s="43"/>
      <c r="AC157" s="43"/>
      <c r="AD157" s="43"/>
      <c r="AE157" s="43"/>
      <c r="AF157" s="43"/>
    </row>
    <row r="158" spans="2:32" x14ac:dyDescent="0.25">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c r="AA158" s="43"/>
      <c r="AB158" s="43"/>
      <c r="AC158" s="43"/>
      <c r="AD158" s="43"/>
      <c r="AE158" s="43"/>
      <c r="AF158" s="43"/>
    </row>
    <row r="159" spans="2:32" x14ac:dyDescent="0.25">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c r="AA159" s="43"/>
      <c r="AB159" s="43"/>
      <c r="AC159" s="43"/>
      <c r="AD159" s="43"/>
      <c r="AE159" s="43"/>
      <c r="AF159" s="43"/>
    </row>
    <row r="160" spans="2:32" x14ac:dyDescent="0.25">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c r="AA160" s="43"/>
      <c r="AB160" s="43"/>
      <c r="AC160" s="43"/>
      <c r="AD160" s="43"/>
      <c r="AE160" s="43"/>
      <c r="AF160" s="43"/>
    </row>
    <row r="161" spans="2:32" x14ac:dyDescent="0.25">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c r="AA161" s="43"/>
      <c r="AB161" s="43"/>
      <c r="AC161" s="43"/>
      <c r="AD161" s="43"/>
      <c r="AE161" s="43"/>
      <c r="AF161" s="43"/>
    </row>
    <row r="162" spans="2:32" x14ac:dyDescent="0.25">
      <c r="B162" s="43"/>
      <c r="C162" s="43"/>
      <c r="D162" s="43"/>
      <c r="E162" s="43"/>
      <c r="F162" s="43"/>
      <c r="G162" s="43"/>
      <c r="H162" s="43"/>
      <c r="I162" s="43"/>
      <c r="J162" s="43"/>
      <c r="K162" s="43"/>
      <c r="L162" s="43"/>
      <c r="M162" s="43"/>
      <c r="N162" s="43"/>
      <c r="O162" s="43"/>
      <c r="P162" s="43"/>
      <c r="Q162" s="43"/>
      <c r="R162" s="43"/>
      <c r="S162" s="43"/>
      <c r="T162" s="43"/>
      <c r="U162" s="43"/>
      <c r="V162" s="43"/>
      <c r="W162" s="43"/>
      <c r="X162" s="43"/>
      <c r="Y162" s="43"/>
      <c r="Z162" s="43"/>
      <c r="AA162" s="43"/>
      <c r="AB162" s="43"/>
      <c r="AC162" s="43"/>
      <c r="AD162" s="43"/>
      <c r="AE162" s="43"/>
      <c r="AF162" s="43"/>
    </row>
    <row r="163" spans="2:32" x14ac:dyDescent="0.25">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c r="Z163" s="43"/>
      <c r="AA163" s="43"/>
      <c r="AB163" s="43"/>
      <c r="AC163" s="43"/>
      <c r="AD163" s="43"/>
      <c r="AE163" s="43"/>
      <c r="AF163" s="43"/>
    </row>
    <row r="164" spans="2:32" x14ac:dyDescent="0.25">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c r="Z164" s="43"/>
      <c r="AA164" s="43"/>
      <c r="AB164" s="43"/>
      <c r="AC164" s="43"/>
      <c r="AD164" s="43"/>
      <c r="AE164" s="43"/>
      <c r="AF164" s="43"/>
    </row>
    <row r="165" spans="2:32" x14ac:dyDescent="0.25">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c r="Z165" s="43"/>
      <c r="AA165" s="43"/>
      <c r="AB165" s="43"/>
      <c r="AC165" s="43"/>
      <c r="AD165" s="43"/>
      <c r="AE165" s="43"/>
      <c r="AF165" s="43"/>
    </row>
    <row r="166" spans="2:32" x14ac:dyDescent="0.25">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c r="Z166" s="43"/>
      <c r="AA166" s="43"/>
      <c r="AB166" s="43"/>
      <c r="AC166" s="43"/>
      <c r="AD166" s="43"/>
      <c r="AE166" s="43"/>
      <c r="AF166" s="43"/>
    </row>
    <row r="167" spans="2:32" x14ac:dyDescent="0.25">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row>
    <row r="168" spans="2:32" x14ac:dyDescent="0.25">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c r="Z168" s="43"/>
      <c r="AA168" s="43"/>
      <c r="AB168" s="43"/>
      <c r="AC168" s="43"/>
      <c r="AD168" s="43"/>
      <c r="AE168" s="43"/>
      <c r="AF168" s="43"/>
    </row>
    <row r="169" spans="2:32" x14ac:dyDescent="0.25">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c r="Z169" s="43"/>
      <c r="AA169" s="43"/>
      <c r="AB169" s="43"/>
      <c r="AC169" s="43"/>
      <c r="AD169" s="43"/>
      <c r="AE169" s="43"/>
      <c r="AF169" s="43"/>
    </row>
    <row r="170" spans="2:32" x14ac:dyDescent="0.25">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c r="Z170" s="43"/>
      <c r="AA170" s="43"/>
      <c r="AB170" s="43"/>
      <c r="AC170" s="43"/>
      <c r="AD170" s="43"/>
      <c r="AE170" s="43"/>
      <c r="AF170" s="43"/>
    </row>
    <row r="171" spans="2:32" x14ac:dyDescent="0.25">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c r="Z171" s="43"/>
      <c r="AA171" s="43"/>
      <c r="AB171" s="43"/>
      <c r="AC171" s="43"/>
      <c r="AD171" s="43"/>
      <c r="AE171" s="43"/>
      <c r="AF171" s="43"/>
    </row>
    <row r="172" spans="2:32" x14ac:dyDescent="0.25">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c r="Z172" s="43"/>
      <c r="AA172" s="43"/>
      <c r="AB172" s="43"/>
      <c r="AC172" s="43"/>
      <c r="AD172" s="43"/>
      <c r="AE172" s="43"/>
      <c r="AF172" s="43"/>
    </row>
    <row r="173" spans="2:32" x14ac:dyDescent="0.25">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c r="Z173" s="43"/>
      <c r="AA173" s="43"/>
      <c r="AB173" s="43"/>
      <c r="AC173" s="43"/>
      <c r="AD173" s="43"/>
      <c r="AE173" s="43"/>
      <c r="AF173" s="43"/>
    </row>
    <row r="174" spans="2:32" x14ac:dyDescent="0.25">
      <c r="B174" s="43"/>
      <c r="C174" s="43"/>
      <c r="D174" s="43"/>
      <c r="E174" s="43"/>
      <c r="F174" s="43"/>
      <c r="G174" s="43"/>
      <c r="H174" s="43"/>
      <c r="I174" s="43"/>
      <c r="J174" s="43"/>
      <c r="K174" s="43"/>
      <c r="L174" s="43"/>
      <c r="M174" s="43"/>
      <c r="N174" s="43"/>
      <c r="O174" s="43"/>
      <c r="P174" s="43"/>
      <c r="Q174" s="43"/>
      <c r="R174" s="43"/>
      <c r="S174" s="43"/>
      <c r="T174" s="43"/>
      <c r="U174" s="43"/>
      <c r="V174" s="43"/>
      <c r="W174" s="43"/>
      <c r="X174" s="43"/>
      <c r="Y174" s="43"/>
      <c r="Z174" s="43"/>
      <c r="AA174" s="43"/>
      <c r="AB174" s="43"/>
      <c r="AC174" s="43"/>
      <c r="AD174" s="43"/>
      <c r="AE174" s="43"/>
      <c r="AF174" s="43"/>
    </row>
    <row r="175" spans="2:32" x14ac:dyDescent="0.25">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c r="Z175" s="43"/>
      <c r="AA175" s="43"/>
      <c r="AB175" s="43"/>
      <c r="AC175" s="43"/>
      <c r="AD175" s="43"/>
      <c r="AE175" s="43"/>
      <c r="AF175" s="43"/>
    </row>
    <row r="176" spans="2:32" x14ac:dyDescent="0.25">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c r="Z176" s="43"/>
      <c r="AA176" s="43"/>
      <c r="AB176" s="43"/>
      <c r="AC176" s="43"/>
      <c r="AD176" s="43"/>
      <c r="AE176" s="43"/>
      <c r="AF176" s="43"/>
    </row>
    <row r="177" spans="2:32" x14ac:dyDescent="0.25">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c r="Z177" s="43"/>
      <c r="AA177" s="43"/>
      <c r="AB177" s="43"/>
      <c r="AC177" s="43"/>
      <c r="AD177" s="43"/>
      <c r="AE177" s="43"/>
      <c r="AF177" s="43"/>
    </row>
    <row r="178" spans="2:32" x14ac:dyDescent="0.25">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c r="Z178" s="43"/>
      <c r="AA178" s="43"/>
      <c r="AB178" s="43"/>
      <c r="AC178" s="43"/>
      <c r="AD178" s="43"/>
      <c r="AE178" s="43"/>
      <c r="AF178" s="43"/>
    </row>
    <row r="179" spans="2:32" x14ac:dyDescent="0.25">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c r="Z179" s="43"/>
      <c r="AA179" s="43"/>
      <c r="AB179" s="43"/>
      <c r="AC179" s="43"/>
      <c r="AD179" s="43"/>
      <c r="AE179" s="43"/>
      <c r="AF179" s="43"/>
    </row>
    <row r="180" spans="2:32" x14ac:dyDescent="0.25">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c r="Z180" s="43"/>
      <c r="AA180" s="43"/>
      <c r="AB180" s="43"/>
      <c r="AC180" s="43"/>
      <c r="AD180" s="43"/>
      <c r="AE180" s="43"/>
      <c r="AF180" s="43"/>
    </row>
    <row r="181" spans="2:32" x14ac:dyDescent="0.25">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row>
    <row r="182" spans="2:32" x14ac:dyDescent="0.25">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c r="Z182" s="43"/>
      <c r="AA182" s="43"/>
      <c r="AB182" s="43"/>
      <c r="AC182" s="43"/>
      <c r="AD182" s="43"/>
      <c r="AE182" s="43"/>
      <c r="AF182" s="43"/>
    </row>
    <row r="183" spans="2:32" x14ac:dyDescent="0.25">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c r="Z183" s="43"/>
      <c r="AA183" s="43"/>
      <c r="AB183" s="43"/>
      <c r="AC183" s="43"/>
      <c r="AD183" s="43"/>
      <c r="AE183" s="43"/>
      <c r="AF183" s="43"/>
    </row>
    <row r="184" spans="2:32" x14ac:dyDescent="0.25">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c r="Z184" s="43"/>
      <c r="AA184" s="43"/>
      <c r="AB184" s="43"/>
      <c r="AC184" s="43"/>
      <c r="AD184" s="43"/>
      <c r="AE184" s="43"/>
      <c r="AF184" s="43"/>
    </row>
    <row r="185" spans="2:32" x14ac:dyDescent="0.25">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c r="Z185" s="43"/>
      <c r="AA185" s="43"/>
      <c r="AB185" s="43"/>
      <c r="AC185" s="43"/>
      <c r="AD185" s="43"/>
      <c r="AE185" s="43"/>
      <c r="AF185" s="43"/>
    </row>
    <row r="186" spans="2:32" x14ac:dyDescent="0.25">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c r="Z186" s="43"/>
      <c r="AA186" s="43"/>
      <c r="AB186" s="43"/>
      <c r="AC186" s="43"/>
      <c r="AD186" s="43"/>
      <c r="AE186" s="43"/>
      <c r="AF186" s="43"/>
    </row>
    <row r="187" spans="2:32" x14ac:dyDescent="0.25">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c r="Z187" s="43"/>
      <c r="AA187" s="43"/>
      <c r="AB187" s="43"/>
      <c r="AC187" s="43"/>
      <c r="AD187" s="43"/>
      <c r="AE187" s="43"/>
      <c r="AF187" s="43"/>
    </row>
    <row r="188" spans="2:32" x14ac:dyDescent="0.25">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c r="Z188" s="43"/>
      <c r="AA188" s="43"/>
      <c r="AB188" s="43"/>
      <c r="AC188" s="43"/>
      <c r="AD188" s="43"/>
      <c r="AE188" s="43"/>
      <c r="AF188" s="43"/>
    </row>
    <row r="189" spans="2:32" x14ac:dyDescent="0.25">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c r="Z189" s="43"/>
      <c r="AA189" s="43"/>
      <c r="AB189" s="43"/>
      <c r="AC189" s="43"/>
      <c r="AD189" s="43"/>
      <c r="AE189" s="43"/>
      <c r="AF189" s="43"/>
    </row>
    <row r="190" spans="2:32" x14ac:dyDescent="0.25">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c r="Z190" s="43"/>
      <c r="AA190" s="43"/>
      <c r="AB190" s="43"/>
      <c r="AC190" s="43"/>
      <c r="AD190" s="43"/>
      <c r="AE190" s="43"/>
      <c r="AF190" s="43"/>
    </row>
    <row r="191" spans="2:32" x14ac:dyDescent="0.25">
      <c r="B191" s="43"/>
      <c r="C191" s="43"/>
      <c r="D191" s="43"/>
      <c r="E191" s="43"/>
      <c r="F191" s="43"/>
      <c r="G191" s="43"/>
      <c r="H191" s="43"/>
      <c r="I191" s="43"/>
      <c r="J191" s="43"/>
      <c r="K191" s="43"/>
      <c r="L191" s="43"/>
      <c r="M191" s="43"/>
      <c r="N191" s="43"/>
      <c r="O191" s="43"/>
      <c r="P191" s="43"/>
      <c r="Q191" s="43"/>
      <c r="R191" s="43"/>
      <c r="S191" s="43"/>
      <c r="T191" s="43"/>
      <c r="U191" s="43"/>
      <c r="V191" s="43"/>
      <c r="W191" s="43"/>
      <c r="X191" s="43"/>
      <c r="Y191" s="43"/>
      <c r="Z191" s="43"/>
      <c r="AA191" s="43"/>
      <c r="AB191" s="43"/>
      <c r="AC191" s="43"/>
      <c r="AD191" s="43"/>
      <c r="AE191" s="43"/>
      <c r="AF191" s="43"/>
    </row>
    <row r="192" spans="2:32" x14ac:dyDescent="0.25">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c r="Z192" s="43"/>
      <c r="AA192" s="43"/>
      <c r="AB192" s="43"/>
      <c r="AC192" s="43"/>
      <c r="AD192" s="43"/>
      <c r="AE192" s="43"/>
      <c r="AF192" s="43"/>
    </row>
    <row r="193" spans="2:32" x14ac:dyDescent="0.25">
      <c r="B193" s="43"/>
      <c r="C193" s="43"/>
      <c r="D193" s="43"/>
      <c r="E193" s="43"/>
      <c r="F193" s="43"/>
      <c r="G193" s="43"/>
      <c r="H193" s="43"/>
      <c r="I193" s="43"/>
      <c r="J193" s="43"/>
      <c r="K193" s="43"/>
      <c r="L193" s="43"/>
      <c r="M193" s="43"/>
      <c r="N193" s="43"/>
      <c r="O193" s="43"/>
      <c r="P193" s="43"/>
      <c r="Q193" s="43"/>
      <c r="R193" s="43"/>
      <c r="S193" s="43"/>
      <c r="T193" s="43"/>
      <c r="U193" s="43"/>
      <c r="V193" s="43"/>
      <c r="W193" s="43"/>
      <c r="X193" s="43"/>
      <c r="Y193" s="43"/>
      <c r="Z193" s="43"/>
      <c r="AA193" s="43"/>
      <c r="AB193" s="43"/>
      <c r="AC193" s="43"/>
      <c r="AD193" s="43"/>
      <c r="AE193" s="43"/>
      <c r="AF193" s="43"/>
    </row>
    <row r="194" spans="2:32" x14ac:dyDescent="0.25">
      <c r="B194" s="43"/>
      <c r="C194" s="43"/>
      <c r="D194" s="43"/>
      <c r="E194" s="43"/>
      <c r="F194" s="43"/>
      <c r="G194" s="43"/>
      <c r="H194" s="43"/>
      <c r="I194" s="43"/>
      <c r="J194" s="43"/>
      <c r="K194" s="43"/>
      <c r="L194" s="43"/>
      <c r="M194" s="43"/>
      <c r="N194" s="43"/>
      <c r="O194" s="43"/>
      <c r="P194" s="43"/>
      <c r="Q194" s="43"/>
      <c r="R194" s="43"/>
      <c r="S194" s="43"/>
      <c r="T194" s="43"/>
      <c r="U194" s="43"/>
      <c r="V194" s="43"/>
      <c r="W194" s="43"/>
      <c r="X194" s="43"/>
      <c r="Y194" s="43"/>
      <c r="Z194" s="43"/>
      <c r="AA194" s="43"/>
      <c r="AB194" s="43"/>
      <c r="AC194" s="43"/>
      <c r="AD194" s="43"/>
      <c r="AE194" s="43"/>
      <c r="AF194" s="43"/>
    </row>
    <row r="195" spans="2:32" x14ac:dyDescent="0.25">
      <c r="B195" s="43"/>
      <c r="C195" s="43"/>
      <c r="D195" s="43"/>
      <c r="E195" s="43"/>
      <c r="F195" s="43"/>
      <c r="G195" s="43"/>
      <c r="H195" s="43"/>
      <c r="I195" s="43"/>
      <c r="J195" s="43"/>
      <c r="K195" s="43"/>
      <c r="L195" s="43"/>
      <c r="M195" s="43"/>
      <c r="N195" s="43"/>
      <c r="O195" s="43"/>
      <c r="P195" s="43"/>
      <c r="Q195" s="43"/>
      <c r="R195" s="43"/>
      <c r="S195" s="43"/>
      <c r="T195" s="43"/>
      <c r="U195" s="43"/>
      <c r="V195" s="43"/>
      <c r="W195" s="43"/>
      <c r="X195" s="43"/>
      <c r="Y195" s="43"/>
      <c r="Z195" s="43"/>
      <c r="AA195" s="43"/>
      <c r="AB195" s="43"/>
      <c r="AC195" s="43"/>
      <c r="AD195" s="43"/>
      <c r="AE195" s="43"/>
      <c r="AF195" s="43"/>
    </row>
    <row r="196" spans="2:32" x14ac:dyDescent="0.25">
      <c r="B196" s="43"/>
      <c r="C196" s="43"/>
      <c r="D196" s="43"/>
      <c r="E196" s="43"/>
      <c r="F196" s="43"/>
      <c r="G196" s="43"/>
      <c r="H196" s="43"/>
      <c r="I196" s="43"/>
      <c r="J196" s="43"/>
      <c r="K196" s="43"/>
      <c r="L196" s="43"/>
      <c r="M196" s="43"/>
      <c r="N196" s="43"/>
      <c r="O196" s="43"/>
      <c r="P196" s="43"/>
      <c r="Q196" s="43"/>
      <c r="R196" s="43"/>
      <c r="S196" s="43"/>
      <c r="T196" s="43"/>
      <c r="U196" s="43"/>
      <c r="V196" s="43"/>
      <c r="W196" s="43"/>
      <c r="X196" s="43"/>
      <c r="Y196" s="43"/>
      <c r="Z196" s="43"/>
      <c r="AA196" s="43"/>
      <c r="AB196" s="43"/>
      <c r="AC196" s="43"/>
      <c r="AD196" s="43"/>
      <c r="AE196" s="43"/>
      <c r="AF196" s="43"/>
    </row>
    <row r="197" spans="2:32" x14ac:dyDescent="0.25">
      <c r="B197" s="43"/>
      <c r="C197" s="43"/>
      <c r="D197" s="43"/>
      <c r="E197" s="43"/>
      <c r="F197" s="43"/>
      <c r="G197" s="43"/>
      <c r="H197" s="43"/>
      <c r="I197" s="43"/>
      <c r="J197" s="43"/>
      <c r="K197" s="43"/>
      <c r="L197" s="43"/>
      <c r="M197" s="43"/>
      <c r="N197" s="43"/>
      <c r="O197" s="43"/>
      <c r="P197" s="43"/>
      <c r="Q197" s="43"/>
      <c r="R197" s="43"/>
      <c r="S197" s="43"/>
      <c r="T197" s="43"/>
      <c r="U197" s="43"/>
      <c r="V197" s="43"/>
      <c r="W197" s="43"/>
      <c r="X197" s="43"/>
      <c r="Y197" s="43"/>
      <c r="Z197" s="43"/>
      <c r="AA197" s="43"/>
      <c r="AB197" s="43"/>
      <c r="AC197" s="43"/>
      <c r="AD197" s="43"/>
      <c r="AE197" s="43"/>
      <c r="AF197" s="43"/>
    </row>
    <row r="198" spans="2:32" x14ac:dyDescent="0.25">
      <c r="B198" s="43"/>
      <c r="C198" s="43"/>
      <c r="D198" s="43"/>
      <c r="E198" s="43"/>
      <c r="F198" s="43"/>
      <c r="G198" s="43"/>
      <c r="H198" s="43"/>
      <c r="I198" s="43"/>
      <c r="J198" s="43"/>
      <c r="K198" s="43"/>
      <c r="L198" s="43"/>
      <c r="M198" s="43"/>
      <c r="N198" s="43"/>
      <c r="O198" s="43"/>
      <c r="P198" s="43"/>
      <c r="Q198" s="43"/>
      <c r="R198" s="43"/>
      <c r="S198" s="43"/>
      <c r="T198" s="43"/>
      <c r="U198" s="43"/>
      <c r="V198" s="43"/>
      <c r="W198" s="43"/>
      <c r="X198" s="43"/>
      <c r="Y198" s="43"/>
      <c r="Z198" s="43"/>
      <c r="AA198" s="43"/>
      <c r="AB198" s="43"/>
      <c r="AC198" s="43"/>
      <c r="AD198" s="43"/>
      <c r="AE198" s="43"/>
      <c r="AF198" s="43"/>
    </row>
    <row r="199" spans="2:32" x14ac:dyDescent="0.25">
      <c r="B199" s="43"/>
      <c r="C199" s="43"/>
      <c r="D199" s="43"/>
      <c r="E199" s="43"/>
      <c r="F199" s="43"/>
      <c r="G199" s="43"/>
      <c r="H199" s="43"/>
      <c r="I199" s="43"/>
      <c r="J199" s="43"/>
      <c r="K199" s="43"/>
      <c r="L199" s="43"/>
      <c r="M199" s="43"/>
      <c r="N199" s="43"/>
      <c r="O199" s="43"/>
      <c r="P199" s="43"/>
      <c r="Q199" s="43"/>
      <c r="R199" s="43"/>
      <c r="S199" s="43"/>
      <c r="T199" s="43"/>
      <c r="U199" s="43"/>
      <c r="V199" s="43"/>
      <c r="W199" s="43"/>
      <c r="X199" s="43"/>
      <c r="Y199" s="43"/>
      <c r="Z199" s="43"/>
      <c r="AA199" s="43"/>
      <c r="AB199" s="43"/>
      <c r="AC199" s="43"/>
      <c r="AD199" s="43"/>
      <c r="AE199" s="43"/>
      <c r="AF199" s="43"/>
    </row>
    <row r="200" spans="2:32" x14ac:dyDescent="0.25">
      <c r="B200" s="43"/>
      <c r="C200" s="43"/>
      <c r="D200" s="43"/>
      <c r="E200" s="43"/>
      <c r="F200" s="43"/>
      <c r="G200" s="43"/>
      <c r="H200" s="43"/>
      <c r="I200" s="43"/>
      <c r="J200" s="43"/>
      <c r="K200" s="43"/>
      <c r="L200" s="43"/>
      <c r="M200" s="43"/>
      <c r="N200" s="43"/>
      <c r="O200" s="43"/>
      <c r="P200" s="43"/>
      <c r="Q200" s="43"/>
      <c r="R200" s="43"/>
      <c r="S200" s="43"/>
      <c r="T200" s="43"/>
      <c r="U200" s="43"/>
      <c r="V200" s="43"/>
      <c r="W200" s="43"/>
      <c r="X200" s="43"/>
      <c r="Y200" s="43"/>
      <c r="Z200" s="43"/>
      <c r="AA200" s="43"/>
      <c r="AB200" s="43"/>
      <c r="AC200" s="43"/>
      <c r="AD200" s="43"/>
      <c r="AE200" s="43"/>
      <c r="AF200" s="43"/>
    </row>
    <row r="201" spans="2:32" x14ac:dyDescent="0.25">
      <c r="B201" s="43"/>
      <c r="C201" s="43"/>
      <c r="D201" s="43"/>
      <c r="E201" s="43"/>
      <c r="F201" s="43"/>
      <c r="G201" s="43"/>
      <c r="H201" s="43"/>
      <c r="I201" s="43"/>
      <c r="J201" s="43"/>
      <c r="K201" s="43"/>
      <c r="L201" s="43"/>
      <c r="M201" s="43"/>
      <c r="N201" s="43"/>
      <c r="O201" s="43"/>
      <c r="P201" s="43"/>
      <c r="Q201" s="43"/>
      <c r="R201" s="43"/>
      <c r="S201" s="43"/>
      <c r="T201" s="43"/>
      <c r="U201" s="43"/>
      <c r="V201" s="43"/>
      <c r="W201" s="43"/>
      <c r="X201" s="43"/>
      <c r="Y201" s="43"/>
      <c r="Z201" s="43"/>
      <c r="AA201" s="43"/>
      <c r="AB201" s="43"/>
      <c r="AC201" s="43"/>
      <c r="AD201" s="43"/>
      <c r="AE201" s="43"/>
      <c r="AF201" s="43"/>
    </row>
    <row r="202" spans="2:32" x14ac:dyDescent="0.25">
      <c r="B202" s="43"/>
      <c r="C202" s="43"/>
      <c r="D202" s="43"/>
      <c r="E202" s="43"/>
      <c r="F202" s="43"/>
      <c r="G202" s="43"/>
      <c r="H202" s="43"/>
      <c r="I202" s="43"/>
      <c r="J202" s="43"/>
      <c r="K202" s="43"/>
      <c r="L202" s="43"/>
      <c r="M202" s="43"/>
      <c r="N202" s="43"/>
      <c r="O202" s="43"/>
      <c r="P202" s="43"/>
      <c r="Q202" s="43"/>
      <c r="R202" s="43"/>
      <c r="S202" s="43"/>
      <c r="T202" s="43"/>
      <c r="U202" s="43"/>
      <c r="V202" s="43"/>
      <c r="W202" s="43"/>
      <c r="X202" s="43"/>
      <c r="Y202" s="43"/>
      <c r="Z202" s="43"/>
      <c r="AA202" s="43"/>
      <c r="AB202" s="43"/>
      <c r="AC202" s="43"/>
      <c r="AD202" s="43"/>
      <c r="AE202" s="43"/>
      <c r="AF202" s="43"/>
    </row>
    <row r="203" spans="2:32" x14ac:dyDescent="0.25">
      <c r="B203" s="43"/>
      <c r="C203" s="43"/>
      <c r="D203" s="43"/>
      <c r="E203" s="43"/>
      <c r="F203" s="43"/>
      <c r="G203" s="43"/>
      <c r="H203" s="43"/>
      <c r="I203" s="43"/>
      <c r="J203" s="43"/>
      <c r="K203" s="43"/>
      <c r="L203" s="43"/>
      <c r="M203" s="43"/>
      <c r="N203" s="43"/>
      <c r="O203" s="43"/>
      <c r="P203" s="43"/>
      <c r="Q203" s="43"/>
      <c r="R203" s="43"/>
      <c r="S203" s="43"/>
      <c r="T203" s="43"/>
      <c r="U203" s="43"/>
      <c r="V203" s="43"/>
      <c r="W203" s="43"/>
      <c r="X203" s="43"/>
      <c r="Y203" s="43"/>
      <c r="Z203" s="43"/>
      <c r="AA203" s="43"/>
      <c r="AB203" s="43"/>
      <c r="AC203" s="43"/>
      <c r="AD203" s="43"/>
      <c r="AE203" s="43"/>
      <c r="AF203" s="43"/>
    </row>
    <row r="204" spans="2:32" x14ac:dyDescent="0.25">
      <c r="B204" s="43"/>
      <c r="C204" s="43"/>
      <c r="D204" s="43"/>
      <c r="E204" s="43"/>
      <c r="F204" s="43"/>
      <c r="G204" s="43"/>
      <c r="H204" s="43"/>
      <c r="I204" s="43"/>
      <c r="J204" s="43"/>
      <c r="K204" s="43"/>
      <c r="L204" s="43"/>
      <c r="M204" s="43"/>
      <c r="N204" s="43"/>
      <c r="O204" s="43"/>
      <c r="P204" s="43"/>
      <c r="Q204" s="43"/>
      <c r="R204" s="43"/>
      <c r="S204" s="43"/>
      <c r="T204" s="43"/>
      <c r="U204" s="43"/>
      <c r="V204" s="43"/>
      <c r="W204" s="43"/>
      <c r="X204" s="43"/>
      <c r="Y204" s="43"/>
      <c r="Z204" s="43"/>
      <c r="AA204" s="43"/>
      <c r="AB204" s="43"/>
      <c r="AC204" s="43"/>
      <c r="AD204" s="43"/>
      <c r="AE204" s="43"/>
      <c r="AF204" s="43"/>
    </row>
    <row r="205" spans="2:32" x14ac:dyDescent="0.25">
      <c r="B205" s="43"/>
      <c r="C205" s="43"/>
      <c r="D205" s="43"/>
      <c r="E205" s="43"/>
      <c r="F205" s="43"/>
      <c r="G205" s="43"/>
      <c r="H205" s="43"/>
      <c r="I205" s="43"/>
      <c r="J205" s="43"/>
      <c r="K205" s="43"/>
      <c r="L205" s="43"/>
      <c r="M205" s="43"/>
      <c r="N205" s="43"/>
      <c r="O205" s="43"/>
      <c r="P205" s="43"/>
      <c r="Q205" s="43"/>
      <c r="R205" s="43"/>
      <c r="S205" s="43"/>
      <c r="T205" s="43"/>
      <c r="U205" s="43"/>
      <c r="V205" s="43"/>
      <c r="W205" s="43"/>
      <c r="X205" s="43"/>
      <c r="Y205" s="43"/>
      <c r="Z205" s="43"/>
      <c r="AA205" s="43"/>
      <c r="AB205" s="43"/>
      <c r="AC205" s="43"/>
      <c r="AD205" s="43"/>
      <c r="AE205" s="43"/>
      <c r="AF205" s="43"/>
    </row>
    <row r="206" spans="2:32" x14ac:dyDescent="0.25">
      <c r="B206" s="43"/>
      <c r="C206" s="43"/>
      <c r="D206" s="43"/>
      <c r="E206" s="43"/>
      <c r="F206" s="43"/>
      <c r="G206" s="43"/>
      <c r="H206" s="43"/>
      <c r="I206" s="43"/>
      <c r="J206" s="43"/>
      <c r="K206" s="43"/>
      <c r="L206" s="43"/>
      <c r="M206" s="43"/>
      <c r="N206" s="43"/>
      <c r="O206" s="43"/>
      <c r="P206" s="43"/>
      <c r="Q206" s="43"/>
      <c r="R206" s="43"/>
      <c r="S206" s="43"/>
      <c r="T206" s="43"/>
      <c r="U206" s="43"/>
      <c r="V206" s="43"/>
      <c r="W206" s="43"/>
      <c r="X206" s="43"/>
      <c r="Y206" s="43"/>
      <c r="Z206" s="43"/>
      <c r="AA206" s="43"/>
      <c r="AB206" s="43"/>
      <c r="AC206" s="43"/>
      <c r="AD206" s="43"/>
      <c r="AE206" s="43"/>
      <c r="AF206" s="43"/>
    </row>
    <row r="207" spans="2:32" x14ac:dyDescent="0.25">
      <c r="B207" s="43"/>
      <c r="C207" s="43"/>
      <c r="D207" s="43"/>
      <c r="E207" s="43"/>
      <c r="F207" s="43"/>
      <c r="G207" s="43"/>
      <c r="H207" s="43"/>
      <c r="I207" s="43"/>
      <c r="J207" s="43"/>
      <c r="K207" s="43"/>
      <c r="L207" s="43"/>
      <c r="M207" s="43"/>
      <c r="N207" s="43"/>
      <c r="O207" s="43"/>
      <c r="P207" s="43"/>
      <c r="Q207" s="43"/>
      <c r="R207" s="43"/>
      <c r="S207" s="43"/>
      <c r="T207" s="43"/>
      <c r="U207" s="43"/>
      <c r="V207" s="43"/>
      <c r="W207" s="43"/>
      <c r="X207" s="43"/>
      <c r="Y207" s="43"/>
      <c r="Z207" s="43"/>
      <c r="AA207" s="43"/>
      <c r="AB207" s="43"/>
      <c r="AC207" s="43"/>
      <c r="AD207" s="43"/>
      <c r="AE207" s="43"/>
      <c r="AF207" s="43"/>
    </row>
    <row r="208" spans="2:32" x14ac:dyDescent="0.25">
      <c r="B208" s="43"/>
      <c r="C208" s="43"/>
      <c r="D208" s="43"/>
      <c r="E208" s="43"/>
      <c r="F208" s="43"/>
      <c r="G208" s="43"/>
      <c r="H208" s="43"/>
      <c r="I208" s="43"/>
      <c r="J208" s="43"/>
      <c r="K208" s="43"/>
      <c r="L208" s="43"/>
      <c r="M208" s="43"/>
      <c r="N208" s="43"/>
      <c r="O208" s="43"/>
      <c r="P208" s="43"/>
      <c r="Q208" s="43"/>
      <c r="R208" s="43"/>
      <c r="S208" s="43"/>
      <c r="T208" s="43"/>
      <c r="U208" s="43"/>
      <c r="V208" s="43"/>
      <c r="W208" s="43"/>
      <c r="X208" s="43"/>
      <c r="Y208" s="43"/>
      <c r="Z208" s="43"/>
      <c r="AA208" s="43"/>
      <c r="AB208" s="43"/>
      <c r="AC208" s="43"/>
      <c r="AD208" s="43"/>
      <c r="AE208" s="43"/>
      <c r="AF208" s="43"/>
    </row>
    <row r="209" spans="2:32" x14ac:dyDescent="0.25">
      <c r="B209" s="43"/>
      <c r="C209" s="43"/>
      <c r="D209" s="43"/>
      <c r="E209" s="43"/>
      <c r="F209" s="43"/>
      <c r="G209" s="43"/>
      <c r="H209" s="43"/>
      <c r="I209" s="43"/>
      <c r="J209" s="43"/>
      <c r="K209" s="43"/>
      <c r="L209" s="43"/>
      <c r="M209" s="43"/>
      <c r="N209" s="43"/>
      <c r="O209" s="43"/>
      <c r="P209" s="43"/>
      <c r="Q209" s="43"/>
      <c r="R209" s="43"/>
      <c r="S209" s="43"/>
      <c r="T209" s="43"/>
      <c r="U209" s="43"/>
      <c r="V209" s="43"/>
      <c r="W209" s="43"/>
      <c r="X209" s="43"/>
      <c r="Y209" s="43"/>
      <c r="Z209" s="43"/>
      <c r="AA209" s="43"/>
      <c r="AB209" s="43"/>
      <c r="AC209" s="43"/>
      <c r="AD209" s="43"/>
      <c r="AE209" s="43"/>
      <c r="AF209" s="43"/>
    </row>
    <row r="210" spans="2:32" x14ac:dyDescent="0.25">
      <c r="B210" s="43"/>
      <c r="C210" s="43"/>
      <c r="D210" s="43"/>
      <c r="E210" s="43"/>
      <c r="F210" s="43"/>
      <c r="G210" s="43"/>
      <c r="H210" s="43"/>
      <c r="I210" s="43"/>
      <c r="J210" s="43"/>
      <c r="K210" s="43"/>
      <c r="L210" s="43"/>
      <c r="M210" s="43"/>
      <c r="N210" s="43"/>
      <c r="O210" s="43"/>
      <c r="P210" s="43"/>
      <c r="Q210" s="43"/>
      <c r="R210" s="43"/>
      <c r="S210" s="43"/>
      <c r="T210" s="43"/>
      <c r="U210" s="43"/>
      <c r="V210" s="43"/>
      <c r="W210" s="43"/>
      <c r="X210" s="43"/>
      <c r="Y210" s="43"/>
      <c r="Z210" s="43"/>
      <c r="AA210" s="43"/>
      <c r="AB210" s="43"/>
      <c r="AC210" s="43"/>
      <c r="AD210" s="43"/>
      <c r="AE210" s="43"/>
      <c r="AF210" s="43"/>
    </row>
    <row r="211" spans="2:32" x14ac:dyDescent="0.25">
      <c r="B211" s="43"/>
      <c r="C211" s="43"/>
      <c r="D211" s="43"/>
      <c r="E211" s="43"/>
      <c r="F211" s="43"/>
      <c r="G211" s="43"/>
      <c r="H211" s="43"/>
      <c r="I211" s="43"/>
      <c r="J211" s="43"/>
      <c r="K211" s="43"/>
      <c r="L211" s="43"/>
      <c r="M211" s="43"/>
      <c r="N211" s="43"/>
      <c r="O211" s="43"/>
      <c r="P211" s="43"/>
      <c r="Q211" s="43"/>
      <c r="R211" s="43"/>
      <c r="S211" s="43"/>
      <c r="T211" s="43"/>
      <c r="U211" s="43"/>
      <c r="V211" s="43"/>
      <c r="W211" s="43"/>
      <c r="X211" s="43"/>
      <c r="Y211" s="43"/>
      <c r="Z211" s="43"/>
      <c r="AA211" s="43"/>
      <c r="AB211" s="43"/>
      <c r="AC211" s="43"/>
      <c r="AD211" s="43"/>
      <c r="AE211" s="43"/>
      <c r="AF211" s="43"/>
    </row>
    <row r="212" spans="2:32" x14ac:dyDescent="0.25">
      <c r="B212" s="43"/>
      <c r="C212" s="43"/>
      <c r="D212" s="43"/>
      <c r="E212" s="43"/>
      <c r="F212" s="43"/>
      <c r="G212" s="43"/>
      <c r="H212" s="43"/>
      <c r="I212" s="43"/>
      <c r="J212" s="43"/>
      <c r="K212" s="43"/>
      <c r="L212" s="43"/>
      <c r="M212" s="43"/>
      <c r="N212" s="43"/>
      <c r="O212" s="43"/>
      <c r="P212" s="43"/>
      <c r="Q212" s="43"/>
      <c r="R212" s="43"/>
      <c r="S212" s="43"/>
      <c r="T212" s="43"/>
      <c r="U212" s="43"/>
      <c r="V212" s="43"/>
      <c r="W212" s="43"/>
      <c r="X212" s="43"/>
      <c r="Y212" s="43"/>
      <c r="Z212" s="43"/>
      <c r="AA212" s="43"/>
      <c r="AB212" s="43"/>
      <c r="AC212" s="43"/>
      <c r="AD212" s="43"/>
      <c r="AE212" s="43"/>
      <c r="AF212" s="43"/>
    </row>
    <row r="213" spans="2:32" x14ac:dyDescent="0.25">
      <c r="B213" s="43"/>
      <c r="C213" s="43"/>
      <c r="D213" s="43"/>
      <c r="E213" s="43"/>
      <c r="F213" s="43"/>
      <c r="G213" s="43"/>
      <c r="H213" s="43"/>
      <c r="I213" s="43"/>
      <c r="J213" s="43"/>
      <c r="K213" s="43"/>
      <c r="L213" s="43"/>
      <c r="M213" s="43"/>
      <c r="N213" s="43"/>
      <c r="O213" s="43"/>
      <c r="P213" s="43"/>
      <c r="Q213" s="43"/>
      <c r="R213" s="43"/>
      <c r="S213" s="43"/>
      <c r="T213" s="43"/>
      <c r="U213" s="43"/>
      <c r="V213" s="43"/>
      <c r="W213" s="43"/>
      <c r="X213" s="43"/>
      <c r="Y213" s="43"/>
      <c r="Z213" s="43"/>
      <c r="AA213" s="43"/>
      <c r="AB213" s="43"/>
      <c r="AC213" s="43"/>
      <c r="AD213" s="43"/>
      <c r="AE213" s="43"/>
      <c r="AF213" s="43"/>
    </row>
    <row r="214" spans="2:32" x14ac:dyDescent="0.25">
      <c r="B214" s="43"/>
      <c r="C214" s="43"/>
      <c r="D214" s="43"/>
      <c r="E214" s="43"/>
      <c r="F214" s="43"/>
      <c r="G214" s="43"/>
      <c r="H214" s="43"/>
      <c r="I214" s="43"/>
      <c r="J214" s="43"/>
      <c r="K214" s="43"/>
      <c r="L214" s="43"/>
      <c r="M214" s="43"/>
      <c r="N214" s="43"/>
      <c r="O214" s="43"/>
      <c r="P214" s="43"/>
      <c r="Q214" s="43"/>
      <c r="R214" s="43"/>
      <c r="S214" s="43"/>
      <c r="T214" s="43"/>
      <c r="U214" s="43"/>
      <c r="V214" s="43"/>
      <c r="W214" s="43"/>
      <c r="X214" s="43"/>
      <c r="Y214" s="43"/>
      <c r="Z214" s="43"/>
      <c r="AA214" s="43"/>
      <c r="AB214" s="43"/>
      <c r="AC214" s="43"/>
      <c r="AD214" s="43"/>
      <c r="AE214" s="43"/>
      <c r="AF214" s="43"/>
    </row>
    <row r="215" spans="2:32" x14ac:dyDescent="0.25">
      <c r="B215" s="43"/>
      <c r="C215" s="43"/>
      <c r="D215" s="43"/>
      <c r="E215" s="43"/>
      <c r="F215" s="43"/>
      <c r="G215" s="43"/>
      <c r="H215" s="43"/>
      <c r="I215" s="43"/>
      <c r="J215" s="43"/>
      <c r="K215" s="43"/>
      <c r="L215" s="43"/>
      <c r="M215" s="43"/>
      <c r="N215" s="43"/>
      <c r="O215" s="43"/>
      <c r="P215" s="43"/>
      <c r="Q215" s="43"/>
      <c r="R215" s="43"/>
      <c r="S215" s="43"/>
      <c r="T215" s="43"/>
      <c r="U215" s="43"/>
      <c r="V215" s="43"/>
      <c r="W215" s="43"/>
      <c r="X215" s="43"/>
      <c r="Y215" s="43"/>
      <c r="Z215" s="43"/>
      <c r="AA215" s="43"/>
      <c r="AB215" s="43"/>
      <c r="AC215" s="43"/>
      <c r="AD215" s="43"/>
      <c r="AE215" s="43"/>
      <c r="AF215" s="43"/>
    </row>
    <row r="216" spans="2:32" x14ac:dyDescent="0.25">
      <c r="B216" s="43"/>
      <c r="C216" s="43"/>
      <c r="D216" s="43"/>
      <c r="E216" s="43"/>
      <c r="F216" s="43"/>
      <c r="G216" s="43"/>
      <c r="H216" s="43"/>
      <c r="I216" s="43"/>
      <c r="J216" s="43"/>
      <c r="K216" s="43"/>
      <c r="L216" s="43"/>
      <c r="M216" s="43"/>
      <c r="N216" s="43"/>
      <c r="O216" s="43"/>
      <c r="P216" s="43"/>
      <c r="Q216" s="43"/>
      <c r="R216" s="43"/>
      <c r="S216" s="43"/>
      <c r="T216" s="43"/>
      <c r="U216" s="43"/>
      <c r="V216" s="43"/>
      <c r="W216" s="43"/>
      <c r="X216" s="43"/>
      <c r="Y216" s="43"/>
      <c r="Z216" s="43"/>
      <c r="AA216" s="43"/>
      <c r="AB216" s="43"/>
      <c r="AC216" s="43"/>
      <c r="AD216" s="43"/>
      <c r="AE216" s="43"/>
      <c r="AF216" s="43"/>
    </row>
    <row r="217" spans="2:32" x14ac:dyDescent="0.25">
      <c r="B217" s="43"/>
      <c r="C217" s="43"/>
      <c r="D217" s="43"/>
      <c r="E217" s="43"/>
      <c r="F217" s="43"/>
      <c r="G217" s="43"/>
      <c r="H217" s="43"/>
      <c r="I217" s="43"/>
      <c r="J217" s="43"/>
      <c r="K217" s="43"/>
      <c r="L217" s="43"/>
      <c r="M217" s="43"/>
      <c r="N217" s="43"/>
      <c r="O217" s="43"/>
      <c r="P217" s="43"/>
      <c r="Q217" s="43"/>
      <c r="R217" s="43"/>
      <c r="S217" s="43"/>
      <c r="T217" s="43"/>
      <c r="U217" s="43"/>
      <c r="V217" s="43"/>
      <c r="W217" s="43"/>
      <c r="X217" s="43"/>
      <c r="Y217" s="43"/>
      <c r="Z217" s="43"/>
      <c r="AA217" s="43"/>
      <c r="AB217" s="43"/>
      <c r="AC217" s="43"/>
      <c r="AD217" s="43"/>
      <c r="AE217" s="43"/>
      <c r="AF217" s="43"/>
    </row>
    <row r="218" spans="2:32" x14ac:dyDescent="0.25">
      <c r="B218" s="43"/>
      <c r="C218" s="43"/>
      <c r="D218" s="43"/>
      <c r="E218" s="43"/>
      <c r="F218" s="43"/>
      <c r="G218" s="43"/>
      <c r="H218" s="43"/>
      <c r="I218" s="43"/>
      <c r="J218" s="43"/>
      <c r="K218" s="43"/>
      <c r="L218" s="43"/>
      <c r="M218" s="43"/>
      <c r="N218" s="43"/>
      <c r="O218" s="43"/>
      <c r="P218" s="43"/>
      <c r="Q218" s="43"/>
      <c r="R218" s="43"/>
      <c r="S218" s="43"/>
      <c r="T218" s="43"/>
      <c r="U218" s="43"/>
      <c r="V218" s="43"/>
      <c r="W218" s="43"/>
      <c r="X218" s="43"/>
      <c r="Y218" s="43"/>
      <c r="Z218" s="43"/>
      <c r="AA218" s="43"/>
      <c r="AB218" s="43"/>
      <c r="AC218" s="43"/>
      <c r="AD218" s="43"/>
      <c r="AE218" s="43"/>
      <c r="AF218" s="43"/>
    </row>
    <row r="219" spans="2:32" x14ac:dyDescent="0.25">
      <c r="B219" s="43"/>
      <c r="C219" s="43"/>
      <c r="D219" s="43"/>
      <c r="E219" s="43"/>
      <c r="F219" s="43"/>
      <c r="G219" s="43"/>
      <c r="H219" s="43"/>
      <c r="I219" s="43"/>
      <c r="J219" s="43"/>
      <c r="K219" s="43"/>
      <c r="L219" s="43"/>
      <c r="M219" s="43"/>
      <c r="N219" s="43"/>
      <c r="O219" s="43"/>
      <c r="P219" s="43"/>
      <c r="Q219" s="43"/>
      <c r="R219" s="43"/>
      <c r="S219" s="43"/>
      <c r="T219" s="43"/>
      <c r="U219" s="43"/>
      <c r="V219" s="43"/>
      <c r="W219" s="43"/>
      <c r="X219" s="43"/>
      <c r="Y219" s="43"/>
      <c r="Z219" s="43"/>
      <c r="AA219" s="43"/>
      <c r="AB219" s="43"/>
      <c r="AC219" s="43"/>
      <c r="AD219" s="43"/>
      <c r="AE219" s="43"/>
      <c r="AF219" s="43"/>
    </row>
    <row r="220" spans="2:32" x14ac:dyDescent="0.25">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row>
    <row r="221" spans="2:32" x14ac:dyDescent="0.25">
      <c r="B221" s="43"/>
      <c r="C221" s="43"/>
      <c r="D221" s="43"/>
      <c r="E221" s="43"/>
      <c r="F221" s="43"/>
      <c r="G221" s="43"/>
      <c r="H221" s="43"/>
      <c r="I221" s="43"/>
      <c r="J221" s="43"/>
      <c r="K221" s="43"/>
      <c r="L221" s="43"/>
      <c r="M221" s="43"/>
      <c r="N221" s="43"/>
      <c r="O221" s="43"/>
      <c r="P221" s="43"/>
      <c r="Q221" s="43"/>
      <c r="R221" s="43"/>
      <c r="S221" s="43"/>
      <c r="T221" s="43"/>
      <c r="U221" s="43"/>
      <c r="V221" s="43"/>
      <c r="W221" s="43"/>
      <c r="X221" s="43"/>
      <c r="Y221" s="43"/>
      <c r="Z221" s="43"/>
      <c r="AA221" s="43"/>
      <c r="AB221" s="43"/>
      <c r="AC221" s="43"/>
      <c r="AD221" s="43"/>
      <c r="AE221" s="43"/>
      <c r="AF221" s="43"/>
    </row>
    <row r="222" spans="2:32" x14ac:dyDescent="0.25">
      <c r="B222" s="43"/>
      <c r="C222" s="43"/>
      <c r="D222" s="43"/>
      <c r="E222" s="43"/>
      <c r="F222" s="43"/>
      <c r="G222" s="43"/>
      <c r="H222" s="43"/>
      <c r="I222" s="43"/>
      <c r="J222" s="43"/>
      <c r="K222" s="43"/>
      <c r="L222" s="43"/>
      <c r="M222" s="43"/>
      <c r="N222" s="43"/>
      <c r="O222" s="43"/>
      <c r="P222" s="43"/>
      <c r="Q222" s="43"/>
      <c r="R222" s="43"/>
      <c r="S222" s="43"/>
      <c r="T222" s="43"/>
      <c r="U222" s="43"/>
      <c r="V222" s="43"/>
      <c r="W222" s="43"/>
      <c r="X222" s="43"/>
      <c r="Y222" s="43"/>
      <c r="Z222" s="43"/>
      <c r="AA222" s="43"/>
      <c r="AB222" s="43"/>
      <c r="AC222" s="43"/>
      <c r="AD222" s="43"/>
      <c r="AE222" s="43"/>
      <c r="AF222" s="43"/>
    </row>
    <row r="223" spans="2:32" x14ac:dyDescent="0.25">
      <c r="B223" s="43"/>
      <c r="C223" s="43"/>
      <c r="D223" s="43"/>
      <c r="E223" s="43"/>
      <c r="F223" s="43"/>
      <c r="G223" s="43"/>
      <c r="H223" s="43"/>
      <c r="I223" s="43"/>
      <c r="J223" s="43"/>
      <c r="K223" s="43"/>
      <c r="L223" s="43"/>
      <c r="M223" s="43"/>
      <c r="N223" s="43"/>
      <c r="O223" s="43"/>
      <c r="P223" s="43"/>
      <c r="Q223" s="43"/>
      <c r="R223" s="43"/>
      <c r="S223" s="43"/>
      <c r="T223" s="43"/>
      <c r="U223" s="43"/>
      <c r="V223" s="43"/>
      <c r="W223" s="43"/>
      <c r="X223" s="43"/>
      <c r="Y223" s="43"/>
      <c r="Z223" s="43"/>
      <c r="AA223" s="43"/>
      <c r="AB223" s="43"/>
      <c r="AC223" s="43"/>
      <c r="AD223" s="43"/>
      <c r="AE223" s="43"/>
      <c r="AF223" s="43"/>
    </row>
    <row r="224" spans="2:32" x14ac:dyDescent="0.25">
      <c r="B224" s="43"/>
      <c r="C224" s="43"/>
      <c r="D224" s="43"/>
      <c r="E224" s="43"/>
      <c r="F224" s="43"/>
      <c r="G224" s="43"/>
      <c r="H224" s="43"/>
      <c r="I224" s="43"/>
      <c r="J224" s="43"/>
      <c r="K224" s="43"/>
      <c r="L224" s="43"/>
      <c r="M224" s="43"/>
      <c r="N224" s="43"/>
      <c r="O224" s="43"/>
      <c r="P224" s="43"/>
      <c r="Q224" s="43"/>
      <c r="R224" s="43"/>
      <c r="S224" s="43"/>
      <c r="T224" s="43"/>
      <c r="U224" s="43"/>
      <c r="V224" s="43"/>
      <c r="W224" s="43"/>
      <c r="X224" s="43"/>
      <c r="Y224" s="43"/>
      <c r="Z224" s="43"/>
      <c r="AA224" s="43"/>
      <c r="AB224" s="43"/>
      <c r="AC224" s="43"/>
      <c r="AD224" s="43"/>
      <c r="AE224" s="43"/>
      <c r="AF224" s="43"/>
    </row>
    <row r="225" spans="2:32" x14ac:dyDescent="0.25">
      <c r="B225" s="43"/>
      <c r="C225" s="43"/>
      <c r="D225" s="43"/>
      <c r="E225" s="43"/>
      <c r="F225" s="43"/>
      <c r="G225" s="43"/>
      <c r="H225" s="43"/>
      <c r="I225" s="43"/>
      <c r="J225" s="43"/>
      <c r="K225" s="43"/>
      <c r="L225" s="43"/>
      <c r="M225" s="43"/>
      <c r="N225" s="43"/>
      <c r="O225" s="43"/>
      <c r="P225" s="43"/>
      <c r="Q225" s="43"/>
      <c r="R225" s="43"/>
      <c r="S225" s="43"/>
      <c r="T225" s="43"/>
      <c r="U225" s="43"/>
      <c r="V225" s="43"/>
      <c r="W225" s="43"/>
      <c r="X225" s="43"/>
      <c r="Y225" s="43"/>
      <c r="Z225" s="43"/>
      <c r="AA225" s="43"/>
      <c r="AB225" s="43"/>
      <c r="AC225" s="43"/>
      <c r="AD225" s="43"/>
      <c r="AE225" s="43"/>
      <c r="AF225" s="43"/>
    </row>
    <row r="226" spans="2:32" x14ac:dyDescent="0.25">
      <c r="B226" s="43"/>
      <c r="C226" s="43"/>
      <c r="D226" s="43"/>
      <c r="E226" s="43"/>
      <c r="F226" s="43"/>
      <c r="G226" s="43"/>
      <c r="H226" s="43"/>
      <c r="I226" s="43"/>
      <c r="J226" s="43"/>
      <c r="K226" s="43"/>
      <c r="L226" s="43"/>
      <c r="M226" s="43"/>
      <c r="N226" s="43"/>
      <c r="O226" s="43"/>
      <c r="P226" s="43"/>
      <c r="Q226" s="43"/>
      <c r="R226" s="43"/>
      <c r="S226" s="43"/>
      <c r="T226" s="43"/>
      <c r="U226" s="43"/>
      <c r="V226" s="43"/>
      <c r="W226" s="43"/>
      <c r="X226" s="43"/>
      <c r="Y226" s="43"/>
      <c r="Z226" s="43"/>
      <c r="AA226" s="43"/>
      <c r="AB226" s="43"/>
      <c r="AC226" s="43"/>
      <c r="AD226" s="43"/>
      <c r="AE226" s="43"/>
      <c r="AF226" s="43"/>
    </row>
    <row r="227" spans="2:32" x14ac:dyDescent="0.25">
      <c r="B227" s="43"/>
      <c r="C227" s="43"/>
      <c r="D227" s="43"/>
      <c r="E227" s="43"/>
      <c r="F227" s="43"/>
      <c r="G227" s="43"/>
      <c r="H227" s="43"/>
      <c r="I227" s="43"/>
      <c r="J227" s="43"/>
      <c r="K227" s="43"/>
      <c r="L227" s="43"/>
      <c r="M227" s="43"/>
      <c r="N227" s="43"/>
      <c r="O227" s="43"/>
      <c r="P227" s="43"/>
      <c r="Q227" s="43"/>
      <c r="R227" s="43"/>
      <c r="S227" s="43"/>
      <c r="T227" s="43"/>
      <c r="U227" s="43"/>
      <c r="V227" s="43"/>
      <c r="W227" s="43"/>
      <c r="X227" s="43"/>
      <c r="Y227" s="43"/>
      <c r="Z227" s="43"/>
      <c r="AA227" s="43"/>
      <c r="AB227" s="43"/>
      <c r="AC227" s="43"/>
      <c r="AD227" s="43"/>
      <c r="AE227" s="43"/>
      <c r="AF227" s="43"/>
    </row>
    <row r="228" spans="2:32" x14ac:dyDescent="0.25">
      <c r="B228" s="43"/>
      <c r="C228" s="43"/>
      <c r="D228" s="43"/>
      <c r="E228" s="43"/>
      <c r="F228" s="43"/>
      <c r="G228" s="43"/>
      <c r="H228" s="43"/>
      <c r="I228" s="43"/>
      <c r="J228" s="43"/>
      <c r="K228" s="43"/>
      <c r="L228" s="43"/>
      <c r="M228" s="43"/>
      <c r="N228" s="43"/>
      <c r="O228" s="43"/>
      <c r="P228" s="43"/>
      <c r="Q228" s="43"/>
      <c r="R228" s="43"/>
      <c r="S228" s="43"/>
      <c r="T228" s="43"/>
      <c r="U228" s="43"/>
      <c r="V228" s="43"/>
      <c r="W228" s="43"/>
      <c r="X228" s="43"/>
      <c r="Y228" s="43"/>
      <c r="Z228" s="43"/>
      <c r="AA228" s="43"/>
      <c r="AB228" s="43"/>
      <c r="AC228" s="43"/>
      <c r="AD228" s="43"/>
      <c r="AE228" s="43"/>
      <c r="AF228" s="43"/>
    </row>
    <row r="229" spans="2:32" x14ac:dyDescent="0.25">
      <c r="B229" s="43"/>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c r="AA229" s="43"/>
      <c r="AB229" s="43"/>
      <c r="AC229" s="43"/>
      <c r="AD229" s="43"/>
      <c r="AE229" s="43"/>
      <c r="AF229" s="43"/>
    </row>
    <row r="230" spans="2:32" x14ac:dyDescent="0.25">
      <c r="B230" s="43"/>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c r="AA230" s="43"/>
      <c r="AB230" s="43"/>
      <c r="AC230" s="43"/>
      <c r="AD230" s="43"/>
      <c r="AE230" s="43"/>
      <c r="AF230" s="43"/>
    </row>
    <row r="231" spans="2:32" x14ac:dyDescent="0.25">
      <c r="B231" s="43"/>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c r="AA231" s="43"/>
      <c r="AB231" s="43"/>
      <c r="AC231" s="43"/>
      <c r="AD231" s="43"/>
      <c r="AE231" s="43"/>
      <c r="AF231" s="43"/>
    </row>
    <row r="232" spans="2:32" x14ac:dyDescent="0.25">
      <c r="B232" s="43"/>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c r="AA232" s="43"/>
      <c r="AB232" s="43"/>
      <c r="AC232" s="43"/>
      <c r="AD232" s="43"/>
      <c r="AE232" s="43"/>
      <c r="AF232" s="43"/>
    </row>
    <row r="233" spans="2:32" x14ac:dyDescent="0.25">
      <c r="B233" s="43"/>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c r="AA233" s="43"/>
      <c r="AB233" s="43"/>
      <c r="AC233" s="43"/>
      <c r="AD233" s="43"/>
      <c r="AE233" s="43"/>
      <c r="AF233" s="43"/>
    </row>
    <row r="234" spans="2:32" x14ac:dyDescent="0.25">
      <c r="B234" s="43"/>
      <c r="C234" s="43"/>
      <c r="D234" s="43"/>
      <c r="E234" s="43"/>
      <c r="F234" s="43"/>
      <c r="G234" s="43"/>
      <c r="H234" s="43"/>
      <c r="I234" s="43"/>
      <c r="J234" s="43"/>
      <c r="K234" s="43"/>
      <c r="L234" s="43"/>
      <c r="M234" s="43"/>
      <c r="N234" s="43"/>
      <c r="O234" s="43"/>
      <c r="P234" s="43"/>
      <c r="Q234" s="43"/>
      <c r="R234" s="43"/>
      <c r="S234" s="43"/>
      <c r="T234" s="43"/>
      <c r="U234" s="43"/>
      <c r="V234" s="43"/>
      <c r="W234" s="43"/>
      <c r="X234" s="43"/>
      <c r="Y234" s="43"/>
      <c r="Z234" s="43"/>
      <c r="AA234" s="43"/>
      <c r="AB234" s="43"/>
      <c r="AC234" s="43"/>
      <c r="AD234" s="43"/>
      <c r="AE234" s="43"/>
      <c r="AF234" s="43"/>
    </row>
    <row r="235" spans="2:32" x14ac:dyDescent="0.25">
      <c r="B235" s="43"/>
      <c r="C235" s="43"/>
      <c r="D235" s="43"/>
      <c r="E235" s="43"/>
      <c r="F235" s="43"/>
      <c r="G235" s="43"/>
      <c r="H235" s="43"/>
      <c r="I235" s="43"/>
      <c r="J235" s="43"/>
      <c r="K235" s="43"/>
      <c r="L235" s="43"/>
      <c r="M235" s="43"/>
      <c r="N235" s="43"/>
      <c r="O235" s="43"/>
      <c r="P235" s="43"/>
      <c r="Q235" s="43"/>
      <c r="R235" s="43"/>
      <c r="S235" s="43"/>
      <c r="T235" s="43"/>
      <c r="U235" s="43"/>
      <c r="V235" s="43"/>
      <c r="W235" s="43"/>
      <c r="X235" s="43"/>
      <c r="Y235" s="43"/>
      <c r="Z235" s="43"/>
      <c r="AA235" s="43"/>
      <c r="AB235" s="43"/>
      <c r="AC235" s="43"/>
      <c r="AD235" s="43"/>
      <c r="AE235" s="43"/>
      <c r="AF235" s="43"/>
    </row>
    <row r="236" spans="2:32" x14ac:dyDescent="0.25">
      <c r="B236" s="43"/>
      <c r="C236" s="43"/>
      <c r="D236" s="43"/>
      <c r="E236" s="43"/>
      <c r="F236" s="43"/>
      <c r="G236" s="43"/>
      <c r="H236" s="43"/>
      <c r="I236" s="43"/>
      <c r="J236" s="43"/>
      <c r="K236" s="43"/>
      <c r="L236" s="43"/>
      <c r="M236" s="43"/>
      <c r="N236" s="43"/>
      <c r="O236" s="43"/>
      <c r="P236" s="43"/>
      <c r="Q236" s="43"/>
      <c r="R236" s="43"/>
      <c r="S236" s="43"/>
      <c r="T236" s="43"/>
      <c r="U236" s="43"/>
      <c r="V236" s="43"/>
      <c r="W236" s="43"/>
      <c r="X236" s="43"/>
      <c r="Y236" s="43"/>
      <c r="Z236" s="43"/>
      <c r="AA236" s="43"/>
      <c r="AB236" s="43"/>
      <c r="AC236" s="43"/>
      <c r="AD236" s="43"/>
      <c r="AE236" s="43"/>
      <c r="AF236" s="43"/>
    </row>
    <row r="237" spans="2:32" x14ac:dyDescent="0.25">
      <c r="B237" s="43"/>
      <c r="C237" s="43"/>
      <c r="D237" s="43"/>
      <c r="E237" s="43"/>
      <c r="F237" s="43"/>
      <c r="G237" s="43"/>
      <c r="H237" s="43"/>
      <c r="I237" s="43"/>
      <c r="J237" s="43"/>
      <c r="K237" s="43"/>
      <c r="L237" s="43"/>
      <c r="M237" s="43"/>
      <c r="N237" s="43"/>
      <c r="O237" s="43"/>
      <c r="P237" s="43"/>
      <c r="Q237" s="43"/>
      <c r="R237" s="43"/>
      <c r="S237" s="43"/>
      <c r="T237" s="43"/>
      <c r="U237" s="43"/>
      <c r="V237" s="43"/>
      <c r="W237" s="43"/>
      <c r="X237" s="43"/>
      <c r="Y237" s="43"/>
      <c r="Z237" s="43"/>
      <c r="AA237" s="43"/>
      <c r="AB237" s="43"/>
      <c r="AC237" s="43"/>
      <c r="AD237" s="43"/>
      <c r="AE237" s="43"/>
      <c r="AF237" s="43"/>
    </row>
    <row r="238" spans="2:32" x14ac:dyDescent="0.25">
      <c r="B238" s="43"/>
      <c r="C238" s="43"/>
      <c r="D238" s="43"/>
      <c r="E238" s="43"/>
      <c r="F238" s="43"/>
      <c r="G238" s="43"/>
      <c r="H238" s="43"/>
      <c r="I238" s="43"/>
      <c r="J238" s="43"/>
      <c r="K238" s="43"/>
      <c r="L238" s="43"/>
      <c r="M238" s="43"/>
      <c r="N238" s="43"/>
      <c r="O238" s="43"/>
      <c r="P238" s="43"/>
      <c r="Q238" s="43"/>
      <c r="R238" s="43"/>
      <c r="S238" s="43"/>
      <c r="T238" s="43"/>
      <c r="U238" s="43"/>
      <c r="V238" s="43"/>
      <c r="W238" s="43"/>
      <c r="X238" s="43"/>
      <c r="Y238" s="43"/>
      <c r="Z238" s="43"/>
      <c r="AA238" s="43"/>
      <c r="AB238" s="43"/>
      <c r="AC238" s="43"/>
      <c r="AD238" s="43"/>
      <c r="AE238" s="43"/>
      <c r="AF238" s="43"/>
    </row>
    <row r="239" spans="2:32" x14ac:dyDescent="0.25">
      <c r="B239" s="43"/>
      <c r="C239" s="43"/>
      <c r="D239" s="43"/>
      <c r="E239" s="43"/>
      <c r="F239" s="43"/>
      <c r="G239" s="43"/>
      <c r="H239" s="43"/>
      <c r="I239" s="43"/>
      <c r="J239" s="43"/>
      <c r="K239" s="43"/>
      <c r="L239" s="43"/>
      <c r="M239" s="43"/>
      <c r="N239" s="43"/>
      <c r="O239" s="43"/>
      <c r="P239" s="43"/>
      <c r="Q239" s="43"/>
      <c r="R239" s="43"/>
      <c r="S239" s="43"/>
      <c r="T239" s="43"/>
      <c r="U239" s="43"/>
      <c r="V239" s="43"/>
      <c r="W239" s="43"/>
      <c r="X239" s="43"/>
      <c r="Y239" s="43"/>
      <c r="Z239" s="43"/>
      <c r="AA239" s="43"/>
      <c r="AB239" s="43"/>
      <c r="AC239" s="43"/>
      <c r="AD239" s="43"/>
      <c r="AE239" s="43"/>
      <c r="AF239" s="43"/>
    </row>
    <row r="240" spans="2:32" x14ac:dyDescent="0.25">
      <c r="B240" s="43"/>
      <c r="C240" s="43"/>
      <c r="D240" s="43"/>
      <c r="E240" s="43"/>
      <c r="F240" s="43"/>
      <c r="G240" s="43"/>
      <c r="H240" s="43"/>
      <c r="I240" s="43"/>
      <c r="J240" s="43"/>
      <c r="K240" s="43"/>
      <c r="L240" s="43"/>
      <c r="M240" s="43"/>
      <c r="N240" s="43"/>
      <c r="O240" s="43"/>
      <c r="P240" s="43"/>
      <c r="Q240" s="43"/>
      <c r="R240" s="43"/>
      <c r="S240" s="43"/>
      <c r="T240" s="43"/>
      <c r="U240" s="43"/>
      <c r="V240" s="43"/>
      <c r="W240" s="43"/>
      <c r="X240" s="43"/>
      <c r="Y240" s="43"/>
      <c r="Z240" s="43"/>
      <c r="AA240" s="43"/>
      <c r="AB240" s="43"/>
      <c r="AC240" s="43"/>
      <c r="AD240" s="43"/>
      <c r="AE240" s="43"/>
      <c r="AF240" s="43"/>
    </row>
    <row r="241" spans="2:32" x14ac:dyDescent="0.25">
      <c r="B241" s="43"/>
      <c r="C241" s="43"/>
      <c r="D241" s="43"/>
      <c r="E241" s="43"/>
      <c r="F241" s="43"/>
      <c r="G241" s="43"/>
      <c r="H241" s="43"/>
      <c r="I241" s="43"/>
      <c r="J241" s="43"/>
      <c r="K241" s="43"/>
      <c r="L241" s="43"/>
      <c r="M241" s="43"/>
      <c r="N241" s="43"/>
      <c r="O241" s="43"/>
      <c r="P241" s="43"/>
      <c r="Q241" s="43"/>
      <c r="R241" s="43"/>
      <c r="S241" s="43"/>
      <c r="T241" s="43"/>
      <c r="U241" s="43"/>
      <c r="V241" s="43"/>
      <c r="W241" s="43"/>
      <c r="X241" s="43"/>
      <c r="Y241" s="43"/>
      <c r="Z241" s="43"/>
      <c r="AA241" s="43"/>
      <c r="AB241" s="43"/>
      <c r="AC241" s="43"/>
      <c r="AD241" s="43"/>
      <c r="AE241" s="43"/>
      <c r="AF241" s="43"/>
    </row>
    <row r="242" spans="2:32" x14ac:dyDescent="0.25">
      <c r="B242" s="43"/>
      <c r="C242" s="43"/>
      <c r="D242" s="43"/>
      <c r="E242" s="43"/>
      <c r="F242" s="43"/>
      <c r="G242" s="43"/>
      <c r="H242" s="43"/>
      <c r="I242" s="43"/>
      <c r="J242" s="43"/>
      <c r="K242" s="43"/>
      <c r="L242" s="43"/>
      <c r="M242" s="43"/>
      <c r="N242" s="43"/>
      <c r="O242" s="43"/>
      <c r="P242" s="43"/>
      <c r="Q242" s="43"/>
      <c r="R242" s="43"/>
      <c r="S242" s="43"/>
      <c r="T242" s="43"/>
      <c r="U242" s="43"/>
      <c r="V242" s="43"/>
      <c r="W242" s="43"/>
      <c r="X242" s="43"/>
      <c r="Y242" s="43"/>
      <c r="Z242" s="43"/>
      <c r="AA242" s="43"/>
      <c r="AB242" s="43"/>
      <c r="AC242" s="43"/>
      <c r="AD242" s="43"/>
      <c r="AE242" s="43"/>
      <c r="AF242" s="43"/>
    </row>
    <row r="243" spans="2:32" x14ac:dyDescent="0.25">
      <c r="B243" s="43"/>
      <c r="C243" s="43"/>
      <c r="D243" s="43"/>
      <c r="E243" s="43"/>
      <c r="F243" s="43"/>
      <c r="G243" s="43"/>
      <c r="H243" s="43"/>
      <c r="I243" s="43"/>
      <c r="J243" s="43"/>
      <c r="K243" s="43"/>
      <c r="L243" s="43"/>
      <c r="M243" s="43"/>
      <c r="N243" s="43"/>
      <c r="O243" s="43"/>
      <c r="P243" s="43"/>
      <c r="Q243" s="43"/>
      <c r="R243" s="43"/>
      <c r="S243" s="43"/>
      <c r="T243" s="43"/>
      <c r="U243" s="43"/>
      <c r="V243" s="43"/>
      <c r="W243" s="43"/>
      <c r="X243" s="43"/>
      <c r="Y243" s="43"/>
      <c r="Z243" s="43"/>
      <c r="AA243" s="43"/>
      <c r="AB243" s="43"/>
      <c r="AC243" s="43"/>
      <c r="AD243" s="43"/>
      <c r="AE243" s="43"/>
      <c r="AF243" s="43"/>
    </row>
    <row r="244" spans="2:32" x14ac:dyDescent="0.25">
      <c r="B244" s="43"/>
      <c r="C244" s="43"/>
      <c r="D244" s="43"/>
      <c r="E244" s="43"/>
      <c r="F244" s="43"/>
      <c r="G244" s="43"/>
      <c r="H244" s="43"/>
      <c r="I244" s="43"/>
      <c r="J244" s="43"/>
      <c r="K244" s="43"/>
      <c r="L244" s="43"/>
      <c r="M244" s="43"/>
      <c r="N244" s="43"/>
      <c r="O244" s="43"/>
      <c r="P244" s="43"/>
      <c r="Q244" s="43"/>
      <c r="R244" s="43"/>
      <c r="S244" s="43"/>
      <c r="T244" s="43"/>
      <c r="U244" s="43"/>
      <c r="V244" s="43"/>
      <c r="W244" s="43"/>
      <c r="X244" s="43"/>
      <c r="Y244" s="43"/>
      <c r="Z244" s="43"/>
      <c r="AA244" s="43"/>
      <c r="AB244" s="43"/>
      <c r="AC244" s="43"/>
      <c r="AD244" s="43"/>
      <c r="AE244" s="43"/>
      <c r="AF244" s="43"/>
    </row>
    <row r="245" spans="2:32" x14ac:dyDescent="0.25">
      <c r="B245" s="43"/>
      <c r="C245" s="43"/>
      <c r="D245" s="43"/>
      <c r="E245" s="43"/>
      <c r="F245" s="43"/>
      <c r="G245" s="43"/>
      <c r="H245" s="43"/>
      <c r="I245" s="43"/>
      <c r="J245" s="43"/>
      <c r="K245" s="43"/>
      <c r="L245" s="43"/>
      <c r="M245" s="43"/>
      <c r="N245" s="43"/>
      <c r="O245" s="43"/>
      <c r="P245" s="43"/>
      <c r="Q245" s="43"/>
      <c r="R245" s="43"/>
      <c r="S245" s="43"/>
      <c r="T245" s="43"/>
      <c r="U245" s="43"/>
      <c r="V245" s="43"/>
      <c r="W245" s="43"/>
      <c r="X245" s="43"/>
      <c r="Y245" s="43"/>
      <c r="Z245" s="43"/>
      <c r="AA245" s="43"/>
      <c r="AB245" s="43"/>
      <c r="AC245" s="43"/>
      <c r="AD245" s="43"/>
      <c r="AE245" s="43"/>
      <c r="AF245" s="43"/>
    </row>
    <row r="246" spans="2:32" x14ac:dyDescent="0.25">
      <c r="B246" s="43"/>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E246" s="43"/>
      <c r="AF246" s="43"/>
    </row>
    <row r="247" spans="2:32" x14ac:dyDescent="0.25">
      <c r="B247" s="43"/>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E247" s="43"/>
      <c r="AF247" s="43"/>
    </row>
    <row r="248" spans="2:32" x14ac:dyDescent="0.25">
      <c r="B248" s="43"/>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E248" s="43"/>
      <c r="AF248" s="43"/>
    </row>
    <row r="249" spans="2:32" x14ac:dyDescent="0.25">
      <c r="B249" s="43"/>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E249" s="43"/>
      <c r="AF249" s="43"/>
    </row>
    <row r="250" spans="2:32" x14ac:dyDescent="0.25">
      <c r="B250" s="43"/>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E250" s="43"/>
      <c r="AF250" s="43"/>
    </row>
    <row r="251" spans="2:32" x14ac:dyDescent="0.25">
      <c r="B251" s="43"/>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E251" s="43"/>
      <c r="AF251" s="43"/>
    </row>
    <row r="252" spans="2:32" x14ac:dyDescent="0.25">
      <c r="B252" s="43"/>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E252" s="43"/>
      <c r="AF252" s="43"/>
    </row>
    <row r="253" spans="2:32" x14ac:dyDescent="0.25">
      <c r="B253" s="43"/>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E253" s="43"/>
      <c r="AF253" s="43"/>
    </row>
    <row r="254" spans="2:32" x14ac:dyDescent="0.25">
      <c r="B254" s="43"/>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E254" s="43"/>
      <c r="AF254" s="43"/>
    </row>
    <row r="255" spans="2:32" x14ac:dyDescent="0.25">
      <c r="B255" s="43"/>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E255" s="43"/>
      <c r="AF255" s="43"/>
    </row>
    <row r="256" spans="2:32" x14ac:dyDescent="0.25">
      <c r="B256" s="43"/>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E256" s="43"/>
      <c r="AF256" s="43"/>
    </row>
    <row r="257" spans="2:32" x14ac:dyDescent="0.25">
      <c r="B257" s="43"/>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E257" s="43"/>
      <c r="AF257" s="43"/>
    </row>
    <row r="258" spans="2:32" x14ac:dyDescent="0.25">
      <c r="B258" s="43"/>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E258" s="43"/>
      <c r="AF258" s="43"/>
    </row>
    <row r="259" spans="2:32" x14ac:dyDescent="0.25">
      <c r="B259" s="43"/>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E259" s="43"/>
      <c r="AF259" s="43"/>
    </row>
    <row r="260" spans="2:32" x14ac:dyDescent="0.25">
      <c r="B260" s="43"/>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E260" s="43"/>
      <c r="AF260" s="43"/>
    </row>
    <row r="261" spans="2:32" x14ac:dyDescent="0.25">
      <c r="B261" s="43"/>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E261" s="43"/>
      <c r="AF261" s="43"/>
    </row>
    <row r="262" spans="2:32" x14ac:dyDescent="0.25">
      <c r="B262" s="43"/>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E262" s="43"/>
      <c r="AF262" s="43"/>
    </row>
    <row r="263" spans="2:32" x14ac:dyDescent="0.25">
      <c r="B263" s="43"/>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E263" s="43"/>
      <c r="AF263" s="43"/>
    </row>
    <row r="264" spans="2:32" x14ac:dyDescent="0.25">
      <c r="B264" s="43"/>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E264" s="43"/>
      <c r="AF264" s="43"/>
    </row>
    <row r="265" spans="2:32" x14ac:dyDescent="0.25">
      <c r="B265" s="43"/>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E265" s="43"/>
      <c r="AF265" s="43"/>
    </row>
    <row r="266" spans="2:32" x14ac:dyDescent="0.25">
      <c r="B266" s="43"/>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E266" s="43"/>
      <c r="AF266" s="43"/>
    </row>
    <row r="267" spans="2:32" x14ac:dyDescent="0.25">
      <c r="B267" s="43"/>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row>
    <row r="268" spans="2:32" x14ac:dyDescent="0.25">
      <c r="B268" s="43"/>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E268" s="43"/>
      <c r="AF268" s="43"/>
    </row>
    <row r="269" spans="2:32" x14ac:dyDescent="0.25">
      <c r="B269" s="43"/>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E269" s="43"/>
      <c r="AF269" s="43"/>
    </row>
    <row r="270" spans="2:32" x14ac:dyDescent="0.25">
      <c r="B270" s="43"/>
      <c r="C270" s="43"/>
      <c r="D270" s="43"/>
      <c r="E270" s="43"/>
      <c r="F270" s="43"/>
      <c r="G270" s="43"/>
      <c r="H270" s="43"/>
      <c r="I270" s="43"/>
      <c r="J270" s="43"/>
      <c r="K270" s="43"/>
      <c r="L270" s="43"/>
      <c r="M270" s="43"/>
      <c r="N270" s="43"/>
      <c r="O270" s="43"/>
      <c r="P270" s="43"/>
      <c r="Q270" s="43"/>
      <c r="R270" s="43"/>
      <c r="S270" s="43"/>
      <c r="T270" s="43"/>
      <c r="U270" s="43"/>
      <c r="V270" s="43"/>
      <c r="W270" s="43"/>
      <c r="X270" s="43"/>
      <c r="Y270" s="43"/>
      <c r="Z270" s="43"/>
      <c r="AA270" s="43"/>
      <c r="AB270" s="43"/>
      <c r="AC270" s="43"/>
      <c r="AD270" s="43"/>
      <c r="AE270" s="43"/>
      <c r="AF270" s="43"/>
    </row>
    <row r="271" spans="2:32" x14ac:dyDescent="0.25">
      <c r="B271" s="43"/>
      <c r="C271" s="43"/>
      <c r="D271" s="43"/>
      <c r="E271" s="43"/>
      <c r="F271" s="43"/>
      <c r="G271" s="43"/>
      <c r="H271" s="43"/>
      <c r="I271" s="43"/>
      <c r="J271" s="43"/>
      <c r="K271" s="43"/>
      <c r="L271" s="43"/>
      <c r="M271" s="43"/>
      <c r="N271" s="43"/>
      <c r="O271" s="43"/>
      <c r="P271" s="43"/>
      <c r="Q271" s="43"/>
      <c r="R271" s="43"/>
      <c r="S271" s="43"/>
      <c r="T271" s="43"/>
      <c r="U271" s="43"/>
      <c r="V271" s="43"/>
      <c r="W271" s="43"/>
      <c r="X271" s="43"/>
      <c r="Y271" s="43"/>
      <c r="Z271" s="43"/>
      <c r="AA271" s="43"/>
      <c r="AB271" s="43"/>
      <c r="AC271" s="43"/>
      <c r="AD271" s="43"/>
      <c r="AE271" s="43"/>
      <c r="AF271" s="43"/>
    </row>
    <row r="272" spans="2:32" x14ac:dyDescent="0.25">
      <c r="B272" s="43"/>
      <c r="C272" s="43"/>
      <c r="D272" s="43"/>
      <c r="E272" s="43"/>
      <c r="F272" s="43"/>
      <c r="G272" s="43"/>
      <c r="H272" s="43"/>
      <c r="I272" s="43"/>
      <c r="J272" s="43"/>
      <c r="K272" s="43"/>
      <c r="L272" s="43"/>
      <c r="M272" s="43"/>
      <c r="N272" s="43"/>
      <c r="O272" s="43"/>
      <c r="P272" s="43"/>
      <c r="Q272" s="43"/>
      <c r="R272" s="43"/>
      <c r="S272" s="43"/>
      <c r="T272" s="43"/>
      <c r="U272" s="43"/>
      <c r="V272" s="43"/>
      <c r="W272" s="43"/>
      <c r="X272" s="43"/>
      <c r="Y272" s="43"/>
      <c r="Z272" s="43"/>
      <c r="AA272" s="43"/>
      <c r="AB272" s="43"/>
      <c r="AC272" s="43"/>
      <c r="AD272" s="43"/>
      <c r="AE272" s="43"/>
      <c r="AF272" s="43"/>
    </row>
    <row r="273" spans="2:32" x14ac:dyDescent="0.25">
      <c r="B273" s="43"/>
      <c r="C273" s="43"/>
      <c r="D273" s="43"/>
      <c r="E273" s="43"/>
      <c r="F273" s="43"/>
      <c r="G273" s="43"/>
      <c r="H273" s="43"/>
      <c r="I273" s="43"/>
      <c r="J273" s="43"/>
      <c r="K273" s="43"/>
      <c r="L273" s="43"/>
      <c r="M273" s="43"/>
      <c r="N273" s="43"/>
      <c r="O273" s="43"/>
      <c r="P273" s="43"/>
      <c r="Q273" s="43"/>
      <c r="R273" s="43"/>
      <c r="S273" s="43"/>
      <c r="T273" s="43"/>
      <c r="U273" s="43"/>
      <c r="V273" s="43"/>
      <c r="W273" s="43"/>
      <c r="X273" s="43"/>
      <c r="Y273" s="43"/>
      <c r="Z273" s="43"/>
      <c r="AA273" s="43"/>
      <c r="AB273" s="43"/>
      <c r="AC273" s="43"/>
      <c r="AD273" s="43"/>
      <c r="AE273" s="43"/>
      <c r="AF273" s="43"/>
    </row>
    <row r="274" spans="2:32" x14ac:dyDescent="0.25">
      <c r="B274" s="43"/>
      <c r="C274" s="43"/>
      <c r="D274" s="43"/>
      <c r="E274" s="43"/>
      <c r="F274" s="43"/>
      <c r="G274" s="43"/>
      <c r="H274" s="43"/>
      <c r="I274" s="43"/>
      <c r="J274" s="43"/>
      <c r="K274" s="43"/>
      <c r="L274" s="43"/>
      <c r="M274" s="43"/>
      <c r="N274" s="43"/>
      <c r="O274" s="43"/>
      <c r="P274" s="43"/>
      <c r="Q274" s="43"/>
      <c r="R274" s="43"/>
      <c r="S274" s="43"/>
      <c r="T274" s="43"/>
      <c r="U274" s="43"/>
      <c r="V274" s="43"/>
      <c r="W274" s="43"/>
      <c r="X274" s="43"/>
      <c r="Y274" s="43"/>
      <c r="Z274" s="43"/>
      <c r="AA274" s="43"/>
      <c r="AB274" s="43"/>
      <c r="AC274" s="43"/>
      <c r="AD274" s="43"/>
      <c r="AE274" s="43"/>
      <c r="AF274" s="43"/>
    </row>
    <row r="275" spans="2:32" x14ac:dyDescent="0.25">
      <c r="B275" s="43"/>
      <c r="C275" s="43"/>
      <c r="D275" s="43"/>
      <c r="E275" s="43"/>
      <c r="F275" s="43"/>
      <c r="G275" s="43"/>
      <c r="H275" s="43"/>
      <c r="I275" s="43"/>
      <c r="J275" s="43"/>
      <c r="K275" s="43"/>
      <c r="L275" s="43"/>
      <c r="M275" s="43"/>
      <c r="N275" s="43"/>
      <c r="O275" s="43"/>
      <c r="P275" s="43"/>
      <c r="Q275" s="43"/>
      <c r="R275" s="43"/>
      <c r="S275" s="43"/>
      <c r="T275" s="43"/>
      <c r="U275" s="43"/>
      <c r="V275" s="43"/>
      <c r="W275" s="43"/>
      <c r="X275" s="43"/>
      <c r="Y275" s="43"/>
      <c r="Z275" s="43"/>
      <c r="AA275" s="43"/>
      <c r="AB275" s="43"/>
      <c r="AC275" s="43"/>
      <c r="AD275" s="43"/>
      <c r="AE275" s="43"/>
      <c r="AF275" s="43"/>
    </row>
    <row r="276" spans="2:32" x14ac:dyDescent="0.25">
      <c r="B276" s="43"/>
      <c r="C276" s="43"/>
      <c r="D276" s="43"/>
      <c r="E276" s="43"/>
      <c r="F276" s="43"/>
      <c r="G276" s="43"/>
      <c r="H276" s="43"/>
      <c r="I276" s="43"/>
      <c r="J276" s="43"/>
      <c r="K276" s="43"/>
      <c r="L276" s="43"/>
      <c r="M276" s="43"/>
      <c r="N276" s="43"/>
      <c r="O276" s="43"/>
      <c r="P276" s="43"/>
      <c r="Q276" s="43"/>
      <c r="R276" s="43"/>
      <c r="S276" s="43"/>
      <c r="T276" s="43"/>
      <c r="U276" s="43"/>
      <c r="V276" s="43"/>
      <c r="W276" s="43"/>
      <c r="X276" s="43"/>
      <c r="Y276" s="43"/>
      <c r="Z276" s="43"/>
      <c r="AA276" s="43"/>
      <c r="AB276" s="43"/>
      <c r="AC276" s="43"/>
      <c r="AD276" s="43"/>
      <c r="AE276" s="43"/>
      <c r="AF276" s="43"/>
    </row>
    <row r="277" spans="2:32" x14ac:dyDescent="0.25">
      <c r="B277" s="43"/>
      <c r="C277" s="43"/>
      <c r="D277" s="43"/>
      <c r="E277" s="43"/>
      <c r="F277" s="43"/>
      <c r="G277" s="43"/>
      <c r="H277" s="43"/>
      <c r="I277" s="43"/>
      <c r="J277" s="43"/>
      <c r="K277" s="43"/>
      <c r="L277" s="43"/>
      <c r="M277" s="43"/>
      <c r="N277" s="43"/>
      <c r="O277" s="43"/>
      <c r="P277" s="43"/>
      <c r="Q277" s="43"/>
      <c r="R277" s="43"/>
      <c r="S277" s="43"/>
      <c r="T277" s="43"/>
      <c r="U277" s="43"/>
      <c r="V277" s="43"/>
      <c r="W277" s="43"/>
      <c r="X277" s="43"/>
      <c r="Y277" s="43"/>
      <c r="Z277" s="43"/>
      <c r="AA277" s="43"/>
      <c r="AB277" s="43"/>
      <c r="AC277" s="43"/>
      <c r="AD277" s="43"/>
      <c r="AE277" s="43"/>
      <c r="AF277" s="43"/>
    </row>
    <row r="278" spans="2:32" x14ac:dyDescent="0.25">
      <c r="B278" s="43"/>
      <c r="C278" s="43"/>
      <c r="D278" s="43"/>
      <c r="E278" s="43"/>
      <c r="F278" s="43"/>
      <c r="G278" s="43"/>
      <c r="H278" s="43"/>
      <c r="I278" s="43"/>
      <c r="J278" s="43"/>
      <c r="K278" s="43"/>
      <c r="L278" s="43"/>
      <c r="M278" s="43"/>
      <c r="N278" s="43"/>
      <c r="O278" s="43"/>
      <c r="P278" s="43"/>
      <c r="Q278" s="43"/>
      <c r="R278" s="43"/>
      <c r="S278" s="43"/>
      <c r="T278" s="43"/>
      <c r="U278" s="43"/>
      <c r="V278" s="43"/>
      <c r="W278" s="43"/>
      <c r="X278" s="43"/>
      <c r="Y278" s="43"/>
      <c r="Z278" s="43"/>
      <c r="AA278" s="43"/>
      <c r="AB278" s="43"/>
      <c r="AC278" s="43"/>
      <c r="AD278" s="43"/>
      <c r="AE278" s="43"/>
      <c r="AF278" s="43"/>
    </row>
    <row r="279" spans="2:32" x14ac:dyDescent="0.25">
      <c r="B279" s="43"/>
      <c r="C279" s="43"/>
      <c r="D279" s="43"/>
      <c r="E279" s="43"/>
      <c r="F279" s="43"/>
      <c r="G279" s="43"/>
      <c r="H279" s="43"/>
      <c r="I279" s="43"/>
      <c r="J279" s="43"/>
      <c r="K279" s="43"/>
      <c r="L279" s="43"/>
      <c r="M279" s="43"/>
      <c r="N279" s="43"/>
      <c r="O279" s="43"/>
      <c r="P279" s="43"/>
      <c r="Q279" s="43"/>
      <c r="R279" s="43"/>
      <c r="S279" s="43"/>
      <c r="T279" s="43"/>
      <c r="U279" s="43"/>
      <c r="V279" s="43"/>
      <c r="W279" s="43"/>
      <c r="X279" s="43"/>
      <c r="Y279" s="43"/>
      <c r="Z279" s="43"/>
      <c r="AA279" s="43"/>
      <c r="AB279" s="43"/>
      <c r="AC279" s="43"/>
      <c r="AD279" s="43"/>
      <c r="AE279" s="43"/>
      <c r="AF279" s="43"/>
    </row>
    <row r="280" spans="2:32" x14ac:dyDescent="0.25">
      <c r="B280" s="43"/>
      <c r="C280" s="43"/>
      <c r="D280" s="43"/>
      <c r="E280" s="43"/>
      <c r="F280" s="43"/>
      <c r="G280" s="43"/>
      <c r="H280" s="43"/>
      <c r="I280" s="43"/>
      <c r="J280" s="43"/>
      <c r="K280" s="43"/>
      <c r="L280" s="43"/>
      <c r="M280" s="43"/>
      <c r="N280" s="43"/>
      <c r="O280" s="43"/>
      <c r="P280" s="43"/>
      <c r="Q280" s="43"/>
      <c r="R280" s="43"/>
      <c r="S280" s="43"/>
      <c r="T280" s="43"/>
      <c r="U280" s="43"/>
      <c r="V280" s="43"/>
      <c r="W280" s="43"/>
      <c r="X280" s="43"/>
      <c r="Y280" s="43"/>
      <c r="Z280" s="43"/>
      <c r="AA280" s="43"/>
      <c r="AB280" s="43"/>
      <c r="AC280" s="43"/>
      <c r="AD280" s="43"/>
      <c r="AE280" s="43"/>
      <c r="AF280" s="43"/>
    </row>
    <row r="281" spans="2:32" x14ac:dyDescent="0.25">
      <c r="B281" s="43"/>
      <c r="C281" s="43"/>
      <c r="D281" s="43"/>
      <c r="E281" s="43"/>
      <c r="F281" s="43"/>
      <c r="G281" s="43"/>
      <c r="H281" s="43"/>
      <c r="I281" s="43"/>
      <c r="J281" s="43"/>
      <c r="K281" s="43"/>
      <c r="L281" s="43"/>
      <c r="M281" s="43"/>
      <c r="N281" s="43"/>
      <c r="O281" s="43"/>
      <c r="P281" s="43"/>
      <c r="Q281" s="43"/>
      <c r="R281" s="43"/>
      <c r="S281" s="43"/>
      <c r="T281" s="43"/>
      <c r="U281" s="43"/>
      <c r="V281" s="43"/>
      <c r="W281" s="43"/>
      <c r="X281" s="43"/>
      <c r="Y281" s="43"/>
      <c r="Z281" s="43"/>
      <c r="AA281" s="43"/>
      <c r="AB281" s="43"/>
      <c r="AC281" s="43"/>
      <c r="AD281" s="43"/>
      <c r="AE281" s="43"/>
      <c r="AF281" s="43"/>
    </row>
    <row r="282" spans="2:32" x14ac:dyDescent="0.25">
      <c r="B282" s="43"/>
      <c r="C282" s="43"/>
      <c r="D282" s="43"/>
      <c r="E282" s="43"/>
      <c r="F282" s="43"/>
      <c r="G282" s="43"/>
      <c r="H282" s="43"/>
      <c r="I282" s="43"/>
      <c r="J282" s="43"/>
      <c r="K282" s="43"/>
      <c r="L282" s="43"/>
      <c r="M282" s="43"/>
      <c r="N282" s="43"/>
      <c r="O282" s="43"/>
      <c r="P282" s="43"/>
      <c r="Q282" s="43"/>
      <c r="R282" s="43"/>
      <c r="S282" s="43"/>
      <c r="T282" s="43"/>
      <c r="U282" s="43"/>
      <c r="V282" s="43"/>
      <c r="W282" s="43"/>
      <c r="X282" s="43"/>
      <c r="Y282" s="43"/>
      <c r="Z282" s="43"/>
      <c r="AA282" s="43"/>
      <c r="AB282" s="43"/>
      <c r="AC282" s="43"/>
      <c r="AD282" s="43"/>
      <c r="AE282" s="43"/>
      <c r="AF282" s="43"/>
    </row>
    <row r="283" spans="2:32" x14ac:dyDescent="0.25">
      <c r="B283" s="43"/>
      <c r="C283" s="43"/>
      <c r="D283" s="43"/>
      <c r="E283" s="43"/>
      <c r="F283" s="43"/>
      <c r="G283" s="43"/>
      <c r="H283" s="43"/>
      <c r="I283" s="43"/>
      <c r="J283" s="43"/>
      <c r="K283" s="43"/>
      <c r="L283" s="43"/>
      <c r="M283" s="43"/>
      <c r="N283" s="43"/>
      <c r="O283" s="43"/>
      <c r="P283" s="43"/>
      <c r="Q283" s="43"/>
      <c r="R283" s="43"/>
      <c r="S283" s="43"/>
      <c r="T283" s="43"/>
      <c r="U283" s="43"/>
      <c r="V283" s="43"/>
      <c r="W283" s="43"/>
      <c r="X283" s="43"/>
      <c r="Y283" s="43"/>
      <c r="Z283" s="43"/>
      <c r="AA283" s="43"/>
      <c r="AB283" s="43"/>
      <c r="AC283" s="43"/>
      <c r="AD283" s="43"/>
      <c r="AE283" s="43"/>
      <c r="AF283" s="43"/>
    </row>
    <row r="284" spans="2:32" x14ac:dyDescent="0.25">
      <c r="B284" s="43"/>
      <c r="C284" s="43"/>
      <c r="D284" s="43"/>
      <c r="E284" s="43"/>
      <c r="F284" s="43"/>
      <c r="G284" s="43"/>
      <c r="H284" s="43"/>
      <c r="I284" s="43"/>
      <c r="J284" s="43"/>
      <c r="K284" s="43"/>
      <c r="L284" s="43"/>
      <c r="M284" s="43"/>
      <c r="N284" s="43"/>
      <c r="O284" s="43"/>
      <c r="P284" s="43"/>
      <c r="Q284" s="43"/>
      <c r="R284" s="43"/>
      <c r="S284" s="43"/>
      <c r="T284" s="43"/>
      <c r="U284" s="43"/>
      <c r="V284" s="43"/>
      <c r="W284" s="43"/>
      <c r="X284" s="43"/>
      <c r="Y284" s="43"/>
      <c r="Z284" s="43"/>
      <c r="AA284" s="43"/>
      <c r="AB284" s="43"/>
      <c r="AC284" s="43"/>
      <c r="AD284" s="43"/>
      <c r="AE284" s="43"/>
      <c r="AF284" s="43"/>
    </row>
    <row r="285" spans="2:32" x14ac:dyDescent="0.25">
      <c r="B285" s="43"/>
      <c r="C285" s="43"/>
      <c r="D285" s="43"/>
      <c r="E285" s="43"/>
      <c r="F285" s="43"/>
      <c r="G285" s="43"/>
      <c r="H285" s="43"/>
      <c r="I285" s="43"/>
      <c r="J285" s="43"/>
      <c r="K285" s="43"/>
      <c r="L285" s="43"/>
      <c r="M285" s="43"/>
      <c r="N285" s="43"/>
      <c r="O285" s="43"/>
      <c r="P285" s="43"/>
      <c r="Q285" s="43"/>
      <c r="R285" s="43"/>
      <c r="S285" s="43"/>
      <c r="T285" s="43"/>
      <c r="U285" s="43"/>
      <c r="V285" s="43"/>
      <c r="W285" s="43"/>
      <c r="X285" s="43"/>
      <c r="Y285" s="43"/>
      <c r="Z285" s="43"/>
      <c r="AA285" s="43"/>
      <c r="AB285" s="43"/>
      <c r="AC285" s="43"/>
      <c r="AD285" s="43"/>
      <c r="AE285" s="43"/>
      <c r="AF285" s="43"/>
    </row>
    <row r="286" spans="2:32" x14ac:dyDescent="0.25">
      <c r="B286" s="43"/>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E286" s="43"/>
      <c r="AF286" s="43"/>
    </row>
    <row r="287" spans="2:32" x14ac:dyDescent="0.25">
      <c r="B287" s="43"/>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E287" s="43"/>
      <c r="AF287" s="43"/>
    </row>
    <row r="288" spans="2:32" x14ac:dyDescent="0.25">
      <c r="B288" s="43"/>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E288" s="43"/>
      <c r="AF288" s="43"/>
    </row>
    <row r="289" spans="2:32" x14ac:dyDescent="0.25">
      <c r="B289" s="43"/>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E289" s="43"/>
      <c r="AF289" s="43"/>
    </row>
    <row r="290" spans="2:32" x14ac:dyDescent="0.25">
      <c r="B290" s="43"/>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E290" s="43"/>
      <c r="AF290" s="43"/>
    </row>
    <row r="291" spans="2:32" x14ac:dyDescent="0.25">
      <c r="B291" s="43"/>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E291" s="43"/>
      <c r="AF291" s="43"/>
    </row>
    <row r="292" spans="2:32" x14ac:dyDescent="0.25">
      <c r="B292" s="43"/>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E292" s="43"/>
      <c r="AF292" s="43"/>
    </row>
    <row r="293" spans="2:32" x14ac:dyDescent="0.25">
      <c r="B293" s="43"/>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E293" s="43"/>
      <c r="AF293" s="43"/>
    </row>
    <row r="294" spans="2:32" x14ac:dyDescent="0.25">
      <c r="B294" s="43"/>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E294" s="43"/>
      <c r="AF294" s="43"/>
    </row>
    <row r="295" spans="2:32" x14ac:dyDescent="0.25">
      <c r="B295" s="43"/>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E295" s="43"/>
      <c r="AF295" s="43"/>
    </row>
    <row r="296" spans="2:32" x14ac:dyDescent="0.25">
      <c r="B296" s="43"/>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E296" s="43"/>
      <c r="AF296" s="43"/>
    </row>
    <row r="297" spans="2:32" x14ac:dyDescent="0.25">
      <c r="B297" s="43"/>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E297" s="43"/>
      <c r="AF297" s="43"/>
    </row>
    <row r="298" spans="2:32" x14ac:dyDescent="0.25">
      <c r="B298" s="43"/>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E298" s="43"/>
      <c r="AF298" s="43"/>
    </row>
    <row r="299" spans="2:32" x14ac:dyDescent="0.25">
      <c r="B299" s="43"/>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E299" s="43"/>
      <c r="AF299" s="43"/>
    </row>
    <row r="300" spans="2:32" x14ac:dyDescent="0.25">
      <c r="B300" s="43"/>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E300" s="43"/>
      <c r="AF300" s="43"/>
    </row>
    <row r="301" spans="2:32" x14ac:dyDescent="0.25">
      <c r="B301" s="43"/>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E301" s="43"/>
      <c r="AF301" s="43"/>
    </row>
    <row r="302" spans="2:32" x14ac:dyDescent="0.25">
      <c r="B302" s="43"/>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E302" s="43"/>
      <c r="AF302" s="43"/>
    </row>
    <row r="303" spans="2:32" x14ac:dyDescent="0.25">
      <c r="B303" s="43"/>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E303" s="43"/>
      <c r="AF303" s="43"/>
    </row>
    <row r="304" spans="2:32" x14ac:dyDescent="0.25">
      <c r="B304" s="43"/>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E304" s="43"/>
      <c r="AF304" s="43"/>
    </row>
    <row r="305" spans="2:32" x14ac:dyDescent="0.25">
      <c r="B305" s="43"/>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E305" s="43"/>
      <c r="AF305" s="43"/>
    </row>
    <row r="306" spans="2:32" x14ac:dyDescent="0.25">
      <c r="B306" s="43"/>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E306" s="43"/>
      <c r="AF306" s="43"/>
    </row>
    <row r="307" spans="2:32" x14ac:dyDescent="0.25">
      <c r="B307" s="43"/>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E307" s="43"/>
      <c r="AF307" s="43"/>
    </row>
    <row r="308" spans="2:32" x14ac:dyDescent="0.25">
      <c r="B308" s="43"/>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E308" s="43"/>
      <c r="AF308" s="43"/>
    </row>
    <row r="309" spans="2:32" x14ac:dyDescent="0.25">
      <c r="B309" s="43"/>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E309" s="43"/>
      <c r="AF309" s="43"/>
    </row>
    <row r="310" spans="2:32" x14ac:dyDescent="0.25">
      <c r="B310" s="43"/>
      <c r="C310" s="43"/>
      <c r="D310" s="43"/>
      <c r="E310" s="43"/>
      <c r="F310" s="43"/>
      <c r="G310" s="43"/>
      <c r="H310" s="43"/>
      <c r="I310" s="43"/>
      <c r="J310" s="43"/>
      <c r="K310" s="43"/>
      <c r="L310" s="43"/>
      <c r="M310" s="43"/>
      <c r="N310" s="43"/>
      <c r="O310" s="43"/>
      <c r="P310" s="43"/>
      <c r="Q310" s="43"/>
      <c r="R310" s="43"/>
      <c r="S310" s="43"/>
      <c r="T310" s="43"/>
      <c r="U310" s="43"/>
      <c r="V310" s="43"/>
      <c r="W310" s="43"/>
      <c r="X310" s="43"/>
      <c r="Y310" s="43"/>
      <c r="Z310" s="43"/>
      <c r="AA310" s="43"/>
      <c r="AB310" s="43"/>
      <c r="AC310" s="43"/>
      <c r="AD310" s="43"/>
      <c r="AE310" s="43"/>
      <c r="AF310" s="43"/>
    </row>
    <row r="311" spans="2:32" x14ac:dyDescent="0.25">
      <c r="B311" s="43"/>
      <c r="C311" s="43"/>
      <c r="D311" s="43"/>
      <c r="E311" s="43"/>
      <c r="F311" s="43"/>
      <c r="G311" s="43"/>
      <c r="H311" s="43"/>
      <c r="I311" s="43"/>
      <c r="J311" s="43"/>
      <c r="K311" s="43"/>
      <c r="L311" s="43"/>
      <c r="M311" s="43"/>
      <c r="N311" s="43"/>
      <c r="O311" s="43"/>
      <c r="P311" s="43"/>
      <c r="Q311" s="43"/>
      <c r="R311" s="43"/>
      <c r="S311" s="43"/>
      <c r="T311" s="43"/>
      <c r="U311" s="43"/>
      <c r="V311" s="43"/>
      <c r="W311" s="43"/>
      <c r="X311" s="43"/>
      <c r="Y311" s="43"/>
      <c r="Z311" s="43"/>
      <c r="AA311" s="43"/>
      <c r="AB311" s="43"/>
      <c r="AC311" s="43"/>
      <c r="AD311" s="43"/>
      <c r="AE311" s="43"/>
      <c r="AF311" s="43"/>
    </row>
    <row r="312" spans="2:32" x14ac:dyDescent="0.25">
      <c r="B312" s="43"/>
      <c r="C312" s="43"/>
      <c r="D312" s="43"/>
      <c r="E312" s="43"/>
      <c r="F312" s="43"/>
      <c r="G312" s="43"/>
      <c r="H312" s="43"/>
      <c r="I312" s="43"/>
      <c r="J312" s="43"/>
      <c r="K312" s="43"/>
      <c r="L312" s="43"/>
      <c r="M312" s="43"/>
      <c r="N312" s="43"/>
      <c r="O312" s="43"/>
      <c r="P312" s="43"/>
      <c r="Q312" s="43"/>
      <c r="R312" s="43"/>
      <c r="S312" s="43"/>
      <c r="T312" s="43"/>
      <c r="U312" s="43"/>
      <c r="V312" s="43"/>
      <c r="W312" s="43"/>
      <c r="X312" s="43"/>
      <c r="Y312" s="43"/>
      <c r="Z312" s="43"/>
      <c r="AA312" s="43"/>
      <c r="AB312" s="43"/>
      <c r="AC312" s="43"/>
      <c r="AD312" s="43"/>
      <c r="AE312" s="43"/>
      <c r="AF312" s="43"/>
    </row>
    <row r="313" spans="2:32" x14ac:dyDescent="0.25">
      <c r="B313" s="43"/>
      <c r="C313" s="43"/>
      <c r="D313" s="43"/>
      <c r="E313" s="43"/>
      <c r="F313" s="43"/>
      <c r="G313" s="43"/>
      <c r="H313" s="43"/>
      <c r="I313" s="43"/>
      <c r="J313" s="43"/>
      <c r="K313" s="43"/>
      <c r="L313" s="43"/>
      <c r="M313" s="43"/>
      <c r="N313" s="43"/>
      <c r="O313" s="43"/>
      <c r="P313" s="43"/>
      <c r="Q313" s="43"/>
      <c r="R313" s="43"/>
      <c r="S313" s="43"/>
      <c r="T313" s="43"/>
      <c r="U313" s="43"/>
      <c r="V313" s="43"/>
      <c r="W313" s="43"/>
      <c r="X313" s="43"/>
      <c r="Y313" s="43"/>
      <c r="Z313" s="43"/>
      <c r="AA313" s="43"/>
      <c r="AB313" s="43"/>
      <c r="AC313" s="43"/>
      <c r="AD313" s="43"/>
      <c r="AE313" s="43"/>
      <c r="AF313" s="43"/>
    </row>
    <row r="314" spans="2:32" x14ac:dyDescent="0.25">
      <c r="B314" s="43"/>
      <c r="C314" s="43"/>
      <c r="D314" s="43"/>
      <c r="E314" s="43"/>
      <c r="F314" s="43"/>
      <c r="G314" s="43"/>
      <c r="H314" s="43"/>
      <c r="I314" s="43"/>
      <c r="J314" s="43"/>
      <c r="K314" s="43"/>
      <c r="L314" s="43"/>
      <c r="M314" s="43"/>
      <c r="N314" s="43"/>
      <c r="O314" s="43"/>
      <c r="P314" s="43"/>
      <c r="Q314" s="43"/>
      <c r="R314" s="43"/>
      <c r="S314" s="43"/>
      <c r="T314" s="43"/>
      <c r="U314" s="43"/>
      <c r="V314" s="43"/>
      <c r="W314" s="43"/>
      <c r="X314" s="43"/>
      <c r="Y314" s="43"/>
      <c r="Z314" s="43"/>
      <c r="AA314" s="43"/>
      <c r="AB314" s="43"/>
      <c r="AC314" s="43"/>
      <c r="AD314" s="43"/>
      <c r="AE314" s="43"/>
      <c r="AF314" s="43"/>
    </row>
    <row r="315" spans="2:32" x14ac:dyDescent="0.25">
      <c r="B315" s="43"/>
      <c r="C315" s="43"/>
      <c r="D315" s="43"/>
      <c r="E315" s="43"/>
      <c r="F315" s="43"/>
      <c r="G315" s="43"/>
      <c r="H315" s="43"/>
      <c r="I315" s="43"/>
      <c r="J315" s="43"/>
      <c r="K315" s="43"/>
      <c r="L315" s="43"/>
      <c r="M315" s="43"/>
      <c r="N315" s="43"/>
      <c r="O315" s="43"/>
      <c r="P315" s="43"/>
      <c r="Q315" s="43"/>
      <c r="R315" s="43"/>
      <c r="S315" s="43"/>
      <c r="T315" s="43"/>
      <c r="U315" s="43"/>
      <c r="V315" s="43"/>
      <c r="W315" s="43"/>
      <c r="X315" s="43"/>
      <c r="Y315" s="43"/>
      <c r="Z315" s="43"/>
      <c r="AA315" s="43"/>
      <c r="AB315" s="43"/>
      <c r="AC315" s="43"/>
      <c r="AD315" s="43"/>
      <c r="AE315" s="43"/>
      <c r="AF315" s="43"/>
    </row>
    <row r="316" spans="2:32" x14ac:dyDescent="0.25">
      <c r="B316" s="43"/>
      <c r="C316" s="43"/>
      <c r="D316" s="43"/>
      <c r="E316" s="43"/>
      <c r="F316" s="43"/>
      <c r="G316" s="43"/>
      <c r="H316" s="43"/>
      <c r="I316" s="43"/>
      <c r="J316" s="43"/>
      <c r="K316" s="43"/>
      <c r="L316" s="43"/>
      <c r="M316" s="43"/>
      <c r="N316" s="43"/>
      <c r="O316" s="43"/>
      <c r="P316" s="43"/>
      <c r="Q316" s="43"/>
      <c r="R316" s="43"/>
      <c r="S316" s="43"/>
      <c r="T316" s="43"/>
      <c r="U316" s="43"/>
      <c r="V316" s="43"/>
      <c r="W316" s="43"/>
      <c r="X316" s="43"/>
      <c r="Y316" s="43"/>
      <c r="Z316" s="43"/>
      <c r="AA316" s="43"/>
      <c r="AB316" s="43"/>
      <c r="AC316" s="43"/>
      <c r="AD316" s="43"/>
      <c r="AE316" s="43"/>
      <c r="AF316" s="43"/>
    </row>
    <row r="317" spans="2:32" x14ac:dyDescent="0.25">
      <c r="B317" s="43"/>
      <c r="C317" s="43"/>
      <c r="D317" s="43"/>
      <c r="E317" s="43"/>
      <c r="F317" s="43"/>
      <c r="G317" s="43"/>
      <c r="H317" s="43"/>
      <c r="I317" s="43"/>
      <c r="J317" s="43"/>
      <c r="K317" s="43"/>
      <c r="L317" s="43"/>
      <c r="M317" s="43"/>
      <c r="N317" s="43"/>
      <c r="O317" s="43"/>
      <c r="P317" s="43"/>
      <c r="Q317" s="43"/>
      <c r="R317" s="43"/>
      <c r="S317" s="43"/>
      <c r="T317" s="43"/>
      <c r="U317" s="43"/>
      <c r="V317" s="43"/>
      <c r="W317" s="43"/>
      <c r="X317" s="43"/>
      <c r="Y317" s="43"/>
      <c r="Z317" s="43"/>
      <c r="AA317" s="43"/>
      <c r="AB317" s="43"/>
      <c r="AC317" s="43"/>
      <c r="AD317" s="43"/>
      <c r="AE317" s="43"/>
      <c r="AF317" s="43"/>
    </row>
    <row r="318" spans="2:32" x14ac:dyDescent="0.25">
      <c r="B318" s="43"/>
      <c r="C318" s="43"/>
      <c r="D318" s="43"/>
      <c r="E318" s="43"/>
      <c r="F318" s="43"/>
      <c r="G318" s="43"/>
      <c r="H318" s="43"/>
      <c r="I318" s="43"/>
      <c r="J318" s="43"/>
      <c r="K318" s="43"/>
      <c r="L318" s="43"/>
      <c r="M318" s="43"/>
      <c r="N318" s="43"/>
      <c r="O318" s="43"/>
      <c r="P318" s="43"/>
      <c r="Q318" s="43"/>
      <c r="R318" s="43"/>
      <c r="S318" s="43"/>
      <c r="T318" s="43"/>
      <c r="U318" s="43"/>
      <c r="V318" s="43"/>
      <c r="W318" s="43"/>
      <c r="X318" s="43"/>
      <c r="Y318" s="43"/>
      <c r="Z318" s="43"/>
      <c r="AA318" s="43"/>
      <c r="AB318" s="43"/>
      <c r="AC318" s="43"/>
      <c r="AD318" s="43"/>
      <c r="AE318" s="43"/>
      <c r="AF318" s="43"/>
    </row>
    <row r="319" spans="2:32" x14ac:dyDescent="0.25">
      <c r="B319" s="43"/>
      <c r="C319" s="43"/>
      <c r="D319" s="43"/>
      <c r="E319" s="43"/>
      <c r="F319" s="43"/>
      <c r="G319" s="43"/>
      <c r="H319" s="43"/>
      <c r="I319" s="43"/>
      <c r="J319" s="43"/>
      <c r="K319" s="43"/>
      <c r="L319" s="43"/>
      <c r="M319" s="43"/>
      <c r="N319" s="43"/>
      <c r="O319" s="43"/>
      <c r="P319" s="43"/>
      <c r="Q319" s="43"/>
      <c r="R319" s="43"/>
      <c r="S319" s="43"/>
      <c r="T319" s="43"/>
      <c r="U319" s="43"/>
      <c r="V319" s="43"/>
      <c r="W319" s="43"/>
      <c r="X319" s="43"/>
      <c r="Y319" s="43"/>
      <c r="Z319" s="43"/>
      <c r="AA319" s="43"/>
      <c r="AB319" s="43"/>
      <c r="AC319" s="43"/>
      <c r="AD319" s="43"/>
      <c r="AE319" s="43"/>
      <c r="AF319"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86"/>
  <sheetViews>
    <sheetView zoomScale="70" zoomScaleNormal="70" workbookViewId="0">
      <pane xSplit="2" topLeftCell="J1" activePane="topRight" state="frozen"/>
      <selection pane="topRight" activeCell="AC52" sqref="AC52"/>
    </sheetView>
  </sheetViews>
  <sheetFormatPr defaultRowHeight="15" customHeight="1" x14ac:dyDescent="0.25"/>
  <cols>
    <col min="1" max="1" width="3" bestFit="1" customWidth="1"/>
    <col min="2" max="2" width="6.28515625" hidden="1" customWidth="1"/>
    <col min="3" max="3" width="10.7109375" customWidth="1"/>
    <col min="4" max="4" width="12.42578125" customWidth="1"/>
    <col min="6" max="17" width="16.28515625" customWidth="1"/>
    <col min="18" max="18" width="9.28515625" customWidth="1"/>
    <col min="19" max="19" width="11.7109375" customWidth="1"/>
    <col min="20" max="22" width="9.28515625" customWidth="1"/>
    <col min="25" max="25" width="10.5703125" bestFit="1" customWidth="1"/>
    <col min="28" max="28" width="37.7109375" bestFit="1" customWidth="1"/>
    <col min="31" max="31" width="7.42578125" customWidth="1"/>
    <col min="32" max="32" width="11.7109375" bestFit="1" customWidth="1"/>
  </cols>
  <sheetData>
    <row r="1" spans="1:34" ht="45.75" thickBot="1" x14ac:dyDescent="0.3">
      <c r="A1" s="68"/>
      <c r="B1" s="68"/>
      <c r="C1" s="68"/>
      <c r="D1" s="91" t="s">
        <v>132</v>
      </c>
      <c r="E1" s="92" t="s">
        <v>133</v>
      </c>
      <c r="F1" s="95" t="s">
        <v>9</v>
      </c>
      <c r="G1" s="95" t="s">
        <v>10</v>
      </c>
      <c r="H1" s="95" t="s">
        <v>11</v>
      </c>
      <c r="I1" s="95" t="s">
        <v>12</v>
      </c>
      <c r="J1" s="95" t="s">
        <v>13</v>
      </c>
      <c r="K1" s="95" t="s">
        <v>14</v>
      </c>
      <c r="L1" s="95" t="s">
        <v>15</v>
      </c>
      <c r="M1" s="95" t="s">
        <v>16</v>
      </c>
      <c r="N1" s="95" t="s">
        <v>17</v>
      </c>
      <c r="O1" s="95" t="s">
        <v>18</v>
      </c>
      <c r="P1" s="95" t="s">
        <v>19</v>
      </c>
      <c r="Q1" s="95" t="s">
        <v>20</v>
      </c>
      <c r="R1" s="92" t="s">
        <v>134</v>
      </c>
      <c r="S1" s="92" t="s">
        <v>135</v>
      </c>
      <c r="T1" s="92" t="s">
        <v>136</v>
      </c>
      <c r="U1" s="92" t="s">
        <v>137</v>
      </c>
      <c r="V1" s="92" t="s">
        <v>138</v>
      </c>
      <c r="W1" s="92" t="s">
        <v>139</v>
      </c>
      <c r="X1" s="92" t="s">
        <v>140</v>
      </c>
      <c r="Y1" s="93" t="s">
        <v>141</v>
      </c>
      <c r="Z1" s="68"/>
      <c r="AA1" s="68"/>
      <c r="AB1" s="68"/>
      <c r="AC1" s="68"/>
      <c r="AD1" s="68"/>
      <c r="AE1" s="68"/>
      <c r="AF1" s="68"/>
      <c r="AG1" s="68"/>
      <c r="AH1" s="68"/>
    </row>
    <row r="2" spans="1:34" ht="15" customHeight="1" x14ac:dyDescent="0.25">
      <c r="A2" s="199" t="s">
        <v>142</v>
      </c>
      <c r="B2" s="203">
        <v>1</v>
      </c>
      <c r="C2" s="72" t="s">
        <v>143</v>
      </c>
      <c r="D2" s="118"/>
      <c r="E2" s="119">
        <v>4</v>
      </c>
      <c r="F2" s="119">
        <v>3</v>
      </c>
      <c r="G2" s="119"/>
      <c r="H2" s="119"/>
      <c r="I2" s="119"/>
      <c r="J2" s="119"/>
      <c r="K2" s="119"/>
      <c r="L2" s="119"/>
      <c r="M2" s="119"/>
      <c r="N2" s="119"/>
      <c r="O2" s="119"/>
      <c r="P2" s="119"/>
      <c r="Q2" s="120"/>
      <c r="R2" s="70">
        <v>2</v>
      </c>
      <c r="S2" s="70"/>
      <c r="T2" s="70"/>
      <c r="U2" s="100">
        <v>3</v>
      </c>
      <c r="V2" s="70">
        <v>2</v>
      </c>
      <c r="W2" s="70">
        <v>2.5</v>
      </c>
      <c r="X2" s="70">
        <v>0</v>
      </c>
      <c r="Y2" s="73">
        <f t="shared" ref="Y2:Y33" si="0">SUM(U2:X2)</f>
        <v>7.5</v>
      </c>
      <c r="Z2" s="69"/>
      <c r="AA2" s="69"/>
      <c r="AB2" s="69"/>
      <c r="AC2" s="69"/>
      <c r="AD2" s="69"/>
      <c r="AE2" s="69"/>
      <c r="AF2" s="69"/>
      <c r="AG2" s="69"/>
      <c r="AH2" s="69"/>
    </row>
    <row r="3" spans="1:34" x14ac:dyDescent="0.25">
      <c r="A3" s="200"/>
      <c r="B3" s="197"/>
      <c r="C3" s="74" t="s">
        <v>144</v>
      </c>
      <c r="D3" s="121"/>
      <c r="E3" s="69"/>
      <c r="F3" s="69">
        <v>3</v>
      </c>
      <c r="G3" s="69"/>
      <c r="H3" s="69"/>
      <c r="I3" s="69"/>
      <c r="J3" s="69"/>
      <c r="K3" s="69"/>
      <c r="L3" s="69"/>
      <c r="M3" s="69"/>
      <c r="N3" s="69"/>
      <c r="O3" s="69"/>
      <c r="P3" s="69"/>
      <c r="Q3" s="122"/>
      <c r="R3" s="69"/>
      <c r="S3" s="69"/>
      <c r="T3" s="69"/>
      <c r="U3" s="101">
        <f t="shared" ref="U3:U58" si="1">SUM(C3:Q3)</f>
        <v>3</v>
      </c>
      <c r="V3" s="69">
        <v>2</v>
      </c>
      <c r="W3" s="69">
        <v>2.5</v>
      </c>
      <c r="X3" s="69">
        <v>0</v>
      </c>
      <c r="Y3" s="75">
        <f t="shared" si="0"/>
        <v>7.5</v>
      </c>
      <c r="Z3" s="69"/>
      <c r="AA3" s="69"/>
      <c r="AB3" s="69"/>
      <c r="AC3" s="69"/>
      <c r="AD3" s="69"/>
      <c r="AE3" s="69"/>
      <c r="AF3" s="69"/>
      <c r="AG3" s="69"/>
      <c r="AH3" s="69"/>
    </row>
    <row r="4" spans="1:34" x14ac:dyDescent="0.25">
      <c r="A4" s="200"/>
      <c r="B4" s="197"/>
      <c r="C4" s="74" t="s">
        <v>145</v>
      </c>
      <c r="D4" s="121"/>
      <c r="E4" s="69"/>
      <c r="F4" s="69">
        <v>3</v>
      </c>
      <c r="G4" s="69"/>
      <c r="H4" s="69"/>
      <c r="I4" s="69"/>
      <c r="J4" s="69"/>
      <c r="K4" s="69"/>
      <c r="L4" s="69"/>
      <c r="M4" s="69"/>
      <c r="N4" s="69"/>
      <c r="O4" s="69"/>
      <c r="P4" s="69"/>
      <c r="Q4" s="122"/>
      <c r="R4" s="69"/>
      <c r="S4" s="69"/>
      <c r="T4" s="69"/>
      <c r="U4" s="101">
        <f t="shared" si="1"/>
        <v>3</v>
      </c>
      <c r="V4" s="69">
        <v>2</v>
      </c>
      <c r="W4" s="69">
        <v>2.5</v>
      </c>
      <c r="X4" s="69">
        <v>0</v>
      </c>
      <c r="Y4" s="75">
        <f t="shared" si="0"/>
        <v>7.5</v>
      </c>
      <c r="Z4" s="69"/>
      <c r="AA4" s="69"/>
      <c r="AB4" s="69"/>
      <c r="AC4" s="69"/>
      <c r="AD4" s="69"/>
      <c r="AE4" s="69"/>
      <c r="AF4" s="69"/>
      <c r="AG4" s="69"/>
      <c r="AH4" s="69"/>
    </row>
    <row r="5" spans="1:34" ht="15" customHeight="1" x14ac:dyDescent="0.25">
      <c r="A5" s="200"/>
      <c r="B5" s="202"/>
      <c r="C5" s="74" t="s">
        <v>146</v>
      </c>
      <c r="D5" s="121"/>
      <c r="E5" s="69"/>
      <c r="F5" s="69">
        <v>3</v>
      </c>
      <c r="G5" s="69"/>
      <c r="H5" s="69"/>
      <c r="I5" s="69"/>
      <c r="J5" s="69"/>
      <c r="K5" s="69"/>
      <c r="L5" s="69"/>
      <c r="M5" s="69"/>
      <c r="N5" s="69"/>
      <c r="O5" s="69"/>
      <c r="P5" s="69"/>
      <c r="Q5" s="122"/>
      <c r="R5" s="69"/>
      <c r="S5" s="69"/>
      <c r="T5" s="69"/>
      <c r="U5" s="101">
        <f t="shared" si="1"/>
        <v>3</v>
      </c>
      <c r="V5" s="69">
        <v>2</v>
      </c>
      <c r="W5" s="69">
        <v>2.5</v>
      </c>
      <c r="X5" s="69">
        <v>2</v>
      </c>
      <c r="Y5" s="75">
        <f t="shared" si="0"/>
        <v>9.5</v>
      </c>
      <c r="Z5" s="69"/>
      <c r="AA5" s="69"/>
      <c r="AB5" s="69"/>
      <c r="AC5" s="69"/>
      <c r="AD5" s="69"/>
      <c r="AE5" s="69"/>
      <c r="AF5" s="69"/>
      <c r="AG5" s="69"/>
      <c r="AH5" s="69"/>
    </row>
    <row r="6" spans="1:34" x14ac:dyDescent="0.25">
      <c r="A6" s="200"/>
      <c r="B6" s="197">
        <v>2</v>
      </c>
      <c r="C6" s="74" t="s">
        <v>147</v>
      </c>
      <c r="D6" s="121"/>
      <c r="E6" s="69"/>
      <c r="F6" s="69"/>
      <c r="G6" s="69">
        <v>3</v>
      </c>
      <c r="H6" s="69"/>
      <c r="I6" s="69"/>
      <c r="J6" s="69"/>
      <c r="K6" s="69"/>
      <c r="L6" s="69"/>
      <c r="M6" s="69"/>
      <c r="N6" s="69"/>
      <c r="O6" s="69"/>
      <c r="P6" s="69"/>
      <c r="Q6" s="122"/>
      <c r="R6" s="69">
        <v>2</v>
      </c>
      <c r="S6" s="69"/>
      <c r="T6" s="69"/>
      <c r="U6" s="101">
        <f t="shared" si="1"/>
        <v>3</v>
      </c>
      <c r="V6" s="69">
        <v>2</v>
      </c>
      <c r="W6" s="69">
        <v>2.5</v>
      </c>
      <c r="X6" s="69">
        <v>0</v>
      </c>
      <c r="Y6" s="75">
        <f t="shared" si="0"/>
        <v>7.5</v>
      </c>
      <c r="Z6" s="69"/>
      <c r="AA6" s="69"/>
      <c r="AB6" s="69"/>
      <c r="AC6" s="69"/>
      <c r="AD6" s="69"/>
      <c r="AE6" s="69"/>
      <c r="AF6" s="69"/>
      <c r="AG6" s="69"/>
      <c r="AH6" s="69"/>
    </row>
    <row r="7" spans="1:34" x14ac:dyDescent="0.25">
      <c r="A7" s="200"/>
      <c r="B7" s="197"/>
      <c r="C7" s="74" t="s">
        <v>148</v>
      </c>
      <c r="D7" s="121"/>
      <c r="E7" s="69"/>
      <c r="F7" s="69"/>
      <c r="G7" s="69">
        <v>3</v>
      </c>
      <c r="H7" s="69"/>
      <c r="I7" s="69"/>
      <c r="J7" s="69"/>
      <c r="K7" s="69"/>
      <c r="L7" s="69"/>
      <c r="M7" s="69"/>
      <c r="N7" s="69"/>
      <c r="O7" s="69"/>
      <c r="P7" s="69"/>
      <c r="Q7" s="122"/>
      <c r="R7" s="69"/>
      <c r="S7" s="69"/>
      <c r="T7" s="69"/>
      <c r="U7" s="101">
        <f t="shared" si="1"/>
        <v>3</v>
      </c>
      <c r="V7" s="69">
        <v>2</v>
      </c>
      <c r="W7" s="69">
        <v>2.5</v>
      </c>
      <c r="X7" s="69">
        <v>0</v>
      </c>
      <c r="Y7" s="75">
        <f t="shared" si="0"/>
        <v>7.5</v>
      </c>
      <c r="Z7" s="69"/>
      <c r="AA7" s="69"/>
      <c r="AB7" s="69"/>
      <c r="AC7" s="69"/>
      <c r="AD7" s="69"/>
      <c r="AE7" s="69"/>
      <c r="AF7" s="69"/>
      <c r="AG7" s="69"/>
      <c r="AH7" s="69"/>
    </row>
    <row r="8" spans="1:34" ht="15" customHeight="1" x14ac:dyDescent="0.25">
      <c r="A8" s="200"/>
      <c r="B8" s="197"/>
      <c r="C8" s="74" t="s">
        <v>149</v>
      </c>
      <c r="D8" s="121"/>
      <c r="E8" s="69"/>
      <c r="G8" s="69">
        <v>3</v>
      </c>
      <c r="H8" s="69"/>
      <c r="I8" s="69"/>
      <c r="J8" s="69"/>
      <c r="K8" s="69"/>
      <c r="L8" s="69"/>
      <c r="M8" s="69"/>
      <c r="N8" s="69"/>
      <c r="O8" s="69"/>
      <c r="P8" s="69"/>
      <c r="Q8" s="122"/>
      <c r="R8" s="69"/>
      <c r="S8" s="69"/>
      <c r="T8" s="69"/>
      <c r="U8" s="101">
        <f t="shared" si="1"/>
        <v>3</v>
      </c>
      <c r="V8" s="69">
        <v>2</v>
      </c>
      <c r="W8" s="69">
        <v>2.5</v>
      </c>
      <c r="X8" s="69">
        <v>0</v>
      </c>
      <c r="Y8" s="75">
        <f t="shared" si="0"/>
        <v>7.5</v>
      </c>
      <c r="Z8" s="69"/>
      <c r="AA8" s="69"/>
      <c r="AB8" s="69"/>
      <c r="AC8" s="69"/>
      <c r="AD8" s="69"/>
      <c r="AE8" s="69"/>
      <c r="AF8" s="69"/>
      <c r="AG8" s="69"/>
      <c r="AH8" s="69"/>
    </row>
    <row r="9" spans="1:34" x14ac:dyDescent="0.25">
      <c r="A9" s="200"/>
      <c r="B9" s="197"/>
      <c r="C9" s="74" t="s">
        <v>150</v>
      </c>
      <c r="D9" s="121"/>
      <c r="E9" s="69"/>
      <c r="G9" s="69">
        <v>3</v>
      </c>
      <c r="H9" s="69"/>
      <c r="I9" s="69"/>
      <c r="J9" s="69"/>
      <c r="K9" s="69"/>
      <c r="L9" s="69"/>
      <c r="M9" s="69"/>
      <c r="N9" s="69"/>
      <c r="O9" s="69"/>
      <c r="P9" s="69"/>
      <c r="Q9" s="122"/>
      <c r="R9" s="69"/>
      <c r="S9" s="69"/>
      <c r="T9" s="69"/>
      <c r="U9" s="101">
        <f t="shared" si="1"/>
        <v>3</v>
      </c>
      <c r="V9" s="69">
        <v>2</v>
      </c>
      <c r="W9" s="69">
        <v>2.5</v>
      </c>
      <c r="X9" s="69">
        <v>0</v>
      </c>
      <c r="Y9" s="75">
        <f t="shared" si="0"/>
        <v>7.5</v>
      </c>
      <c r="Z9" s="69"/>
      <c r="AA9" s="69"/>
      <c r="AB9" s="69" t="s">
        <v>151</v>
      </c>
      <c r="AC9" s="69">
        <f>E2</f>
        <v>4</v>
      </c>
      <c r="AD9" s="69"/>
      <c r="AE9" s="69"/>
      <c r="AF9" s="69"/>
      <c r="AG9" s="69"/>
      <c r="AH9" s="69"/>
    </row>
    <row r="10" spans="1:34" x14ac:dyDescent="0.25">
      <c r="A10" s="200"/>
      <c r="B10" s="197">
        <v>3</v>
      </c>
      <c r="C10" s="74" t="s">
        <v>152</v>
      </c>
      <c r="D10" s="121"/>
      <c r="E10" s="69"/>
      <c r="G10" s="69">
        <v>3</v>
      </c>
      <c r="H10" s="69"/>
      <c r="I10" s="69"/>
      <c r="J10" s="69"/>
      <c r="K10" s="69"/>
      <c r="L10" s="69"/>
      <c r="M10" s="69"/>
      <c r="N10" s="69"/>
      <c r="O10" s="69"/>
      <c r="P10" s="69"/>
      <c r="Q10" s="122"/>
      <c r="R10" s="69">
        <v>2</v>
      </c>
      <c r="S10" s="69"/>
      <c r="T10" s="69"/>
      <c r="U10" s="101">
        <f t="shared" si="1"/>
        <v>3</v>
      </c>
      <c r="V10" s="69">
        <v>2</v>
      </c>
      <c r="W10" s="69">
        <v>2.5</v>
      </c>
      <c r="X10" s="69">
        <v>2</v>
      </c>
      <c r="Y10" s="75">
        <f t="shared" si="0"/>
        <v>9.5</v>
      </c>
      <c r="Z10" s="69"/>
      <c r="AA10" s="69"/>
      <c r="AB10" s="115" t="s">
        <v>153</v>
      </c>
      <c r="AC10" s="69"/>
      <c r="AD10" s="69"/>
      <c r="AE10" s="69"/>
      <c r="AF10" s="69" t="s">
        <v>154</v>
      </c>
      <c r="AG10" s="69"/>
      <c r="AH10" s="69"/>
    </row>
    <row r="11" spans="1:34" x14ac:dyDescent="0.25">
      <c r="A11" s="200"/>
      <c r="B11" s="197"/>
      <c r="C11" s="74" t="s">
        <v>155</v>
      </c>
      <c r="D11" s="121"/>
      <c r="E11" s="69"/>
      <c r="G11" s="69"/>
      <c r="H11" s="69">
        <v>3</v>
      </c>
      <c r="I11" s="69"/>
      <c r="J11" s="69"/>
      <c r="K11" s="69"/>
      <c r="L11" s="69"/>
      <c r="M11" s="69"/>
      <c r="N11" s="69"/>
      <c r="O11" s="69"/>
      <c r="P11" s="69"/>
      <c r="Q11" s="122"/>
      <c r="R11" s="69"/>
      <c r="S11" s="69"/>
      <c r="T11" s="69"/>
      <c r="U11" s="101">
        <f t="shared" si="1"/>
        <v>3</v>
      </c>
      <c r="V11" s="69">
        <v>2</v>
      </c>
      <c r="W11" s="69">
        <v>2.5</v>
      </c>
      <c r="X11" s="69">
        <v>0</v>
      </c>
      <c r="Y11" s="75">
        <f t="shared" si="0"/>
        <v>7.5</v>
      </c>
      <c r="Z11" s="69"/>
      <c r="AA11" s="69"/>
      <c r="AB11" s="116" t="s">
        <v>156</v>
      </c>
      <c r="AC11" s="117">
        <f>Y79+AC9</f>
        <v>487</v>
      </c>
      <c r="AD11" s="69"/>
      <c r="AE11" s="69"/>
      <c r="AF11" s="69"/>
      <c r="AG11" s="69"/>
      <c r="AH11" s="69"/>
    </row>
    <row r="12" spans="1:34" x14ac:dyDescent="0.25">
      <c r="A12" s="200"/>
      <c r="B12" s="197"/>
      <c r="C12" s="74" t="s">
        <v>157</v>
      </c>
      <c r="D12" s="121"/>
      <c r="E12" s="69"/>
      <c r="G12" s="69"/>
      <c r="H12" s="69">
        <v>3</v>
      </c>
      <c r="I12" s="69"/>
      <c r="J12" s="69"/>
      <c r="K12" s="69"/>
      <c r="L12" s="69"/>
      <c r="M12" s="69"/>
      <c r="N12" s="69"/>
      <c r="O12" s="69"/>
      <c r="P12" s="69"/>
      <c r="Q12" s="122"/>
      <c r="R12" s="69"/>
      <c r="S12" s="69"/>
      <c r="T12" s="69"/>
      <c r="U12" s="101">
        <f t="shared" si="1"/>
        <v>3</v>
      </c>
      <c r="V12" s="69">
        <v>2</v>
      </c>
      <c r="W12" s="69">
        <v>2.5</v>
      </c>
      <c r="X12" s="69">
        <v>0</v>
      </c>
      <c r="Y12" s="75">
        <f t="shared" si="0"/>
        <v>7.5</v>
      </c>
      <c r="Z12" s="69"/>
      <c r="AA12" s="69"/>
      <c r="AB12" s="69"/>
      <c r="AC12" s="104" t="s">
        <v>158</v>
      </c>
      <c r="AD12" s="104" t="s">
        <v>159</v>
      </c>
      <c r="AE12" s="103" t="s">
        <v>160</v>
      </c>
      <c r="AF12" s="103" t="s">
        <v>161</v>
      </c>
      <c r="AG12" s="69"/>
      <c r="AH12" s="69"/>
    </row>
    <row r="13" spans="1:34" x14ac:dyDescent="0.25">
      <c r="A13" s="200"/>
      <c r="B13" s="197"/>
      <c r="C13" s="74" t="s">
        <v>162</v>
      </c>
      <c r="D13" s="121"/>
      <c r="E13" s="69"/>
      <c r="F13" s="69"/>
      <c r="G13" s="69"/>
      <c r="H13" s="69">
        <v>3</v>
      </c>
      <c r="I13" s="69"/>
      <c r="J13" s="69"/>
      <c r="K13" s="69"/>
      <c r="L13" s="69"/>
      <c r="M13" s="69"/>
      <c r="N13" s="69"/>
      <c r="O13" s="69"/>
      <c r="P13" s="69"/>
      <c r="Q13" s="122"/>
      <c r="R13" s="69"/>
      <c r="S13" s="127" t="s">
        <v>163</v>
      </c>
      <c r="T13" s="69"/>
      <c r="U13" s="101">
        <f t="shared" si="1"/>
        <v>3</v>
      </c>
      <c r="V13" s="69">
        <v>2</v>
      </c>
      <c r="W13" s="69">
        <v>2.5</v>
      </c>
      <c r="X13" s="69">
        <v>0</v>
      </c>
      <c r="Y13" s="75">
        <f t="shared" si="0"/>
        <v>7.5</v>
      </c>
      <c r="Z13" s="69"/>
      <c r="AA13" s="69"/>
      <c r="AB13" s="114" t="s">
        <v>9</v>
      </c>
      <c r="AC13" s="80">
        <f>F78</f>
        <v>12</v>
      </c>
      <c r="AD13" s="84">
        <f t="shared" ref="AD13:AD24" si="2">AC13/$AC$11</f>
        <v>2.4640657084188913E-2</v>
      </c>
      <c r="AE13" s="84">
        <f>AD13</f>
        <v>2.4640657084188913E-2</v>
      </c>
      <c r="AF13" s="80">
        <v>2</v>
      </c>
      <c r="AG13" s="85"/>
      <c r="AH13" s="69"/>
    </row>
    <row r="14" spans="1:34" x14ac:dyDescent="0.25">
      <c r="A14" s="200"/>
      <c r="B14" s="197">
        <v>4</v>
      </c>
      <c r="C14" s="74" t="s">
        <v>164</v>
      </c>
      <c r="D14" s="121"/>
      <c r="E14" s="69"/>
      <c r="G14" s="69"/>
      <c r="H14" s="69">
        <v>3</v>
      </c>
      <c r="I14" s="69"/>
      <c r="J14" s="69"/>
      <c r="K14" s="69"/>
      <c r="L14" s="69"/>
      <c r="M14" s="69"/>
      <c r="N14" s="69"/>
      <c r="O14" s="69"/>
      <c r="P14" s="69"/>
      <c r="Q14" s="122"/>
      <c r="R14" s="69">
        <v>2</v>
      </c>
      <c r="S14" s="69"/>
      <c r="T14" s="69"/>
      <c r="U14" s="101">
        <f t="shared" si="1"/>
        <v>3</v>
      </c>
      <c r="V14" s="69">
        <v>2</v>
      </c>
      <c r="W14" s="69">
        <v>2.5</v>
      </c>
      <c r="X14" s="69">
        <v>0</v>
      </c>
      <c r="Y14" s="75">
        <f t="shared" si="0"/>
        <v>7.5</v>
      </c>
      <c r="Z14" s="69"/>
      <c r="AA14" s="69"/>
      <c r="AB14" s="114" t="s">
        <v>10</v>
      </c>
      <c r="AC14" s="80">
        <f>G78</f>
        <v>15</v>
      </c>
      <c r="AD14" s="84">
        <f t="shared" si="2"/>
        <v>3.0800821355236138E-2</v>
      </c>
      <c r="AE14" s="84">
        <f t="shared" ref="AE14:AE24" si="3">AE13+AD14</f>
        <v>5.5441478439425054E-2</v>
      </c>
      <c r="AF14" s="80">
        <v>2</v>
      </c>
      <c r="AG14" s="85"/>
      <c r="AH14" s="69"/>
    </row>
    <row r="15" spans="1:34" x14ac:dyDescent="0.25">
      <c r="A15" s="200"/>
      <c r="B15" s="197"/>
      <c r="C15" s="74" t="s">
        <v>165</v>
      </c>
      <c r="D15" s="121"/>
      <c r="E15" s="69"/>
      <c r="G15" s="69"/>
      <c r="H15" s="69">
        <v>3</v>
      </c>
      <c r="I15" s="69"/>
      <c r="J15" s="69"/>
      <c r="K15" s="69"/>
      <c r="L15" s="69"/>
      <c r="M15" s="69"/>
      <c r="N15" s="69"/>
      <c r="O15" s="69"/>
      <c r="P15" s="69"/>
      <c r="Q15" s="122"/>
      <c r="R15" s="69"/>
      <c r="S15" s="69"/>
      <c r="T15" s="69"/>
      <c r="U15" s="101">
        <f t="shared" si="1"/>
        <v>3</v>
      </c>
      <c r="V15" s="69">
        <v>2</v>
      </c>
      <c r="W15" s="69">
        <v>2.5</v>
      </c>
      <c r="X15" s="69">
        <v>0</v>
      </c>
      <c r="Y15" s="75">
        <f t="shared" si="0"/>
        <v>7.5</v>
      </c>
      <c r="Z15" s="69"/>
      <c r="AA15" s="69"/>
      <c r="AB15" s="114" t="s">
        <v>11</v>
      </c>
      <c r="AC15" s="80">
        <f>H78</f>
        <v>27</v>
      </c>
      <c r="AD15" s="84">
        <f t="shared" si="2"/>
        <v>5.5441478439425054E-2</v>
      </c>
      <c r="AE15" s="84">
        <f t="shared" si="3"/>
        <v>0.11088295687885011</v>
      </c>
      <c r="AF15" s="80">
        <v>2</v>
      </c>
      <c r="AG15" s="85"/>
      <c r="AH15" s="69"/>
    </row>
    <row r="16" spans="1:34" x14ac:dyDescent="0.25">
      <c r="A16" s="200"/>
      <c r="B16" s="197"/>
      <c r="C16" s="74" t="s">
        <v>166</v>
      </c>
      <c r="D16" s="121"/>
      <c r="E16" s="69"/>
      <c r="G16" s="69"/>
      <c r="H16" s="69">
        <v>3</v>
      </c>
      <c r="I16" s="69"/>
      <c r="J16" s="69"/>
      <c r="K16" s="69"/>
      <c r="L16" s="69"/>
      <c r="M16" s="69"/>
      <c r="N16" s="69"/>
      <c r="O16" s="69"/>
      <c r="P16" s="69"/>
      <c r="Q16" s="122"/>
      <c r="R16" s="69"/>
      <c r="S16" s="69"/>
      <c r="T16" s="69"/>
      <c r="U16" s="101">
        <f t="shared" si="1"/>
        <v>3</v>
      </c>
      <c r="V16" s="69">
        <v>2</v>
      </c>
      <c r="W16" s="69">
        <v>2.5</v>
      </c>
      <c r="X16" s="69">
        <v>0</v>
      </c>
      <c r="Y16" s="75">
        <f t="shared" si="0"/>
        <v>7.5</v>
      </c>
      <c r="Z16" s="69"/>
      <c r="AA16" s="69"/>
      <c r="AB16" s="114" t="s">
        <v>12</v>
      </c>
      <c r="AC16" s="80">
        <f>I78</f>
        <v>12</v>
      </c>
      <c r="AD16" s="84">
        <f t="shared" si="2"/>
        <v>2.4640657084188913E-2</v>
      </c>
      <c r="AE16" s="84">
        <f t="shared" si="3"/>
        <v>0.13552361396303902</v>
      </c>
      <c r="AF16" s="80">
        <v>2</v>
      </c>
      <c r="AG16" s="85"/>
      <c r="AH16" s="69"/>
    </row>
    <row r="17" spans="1:34" x14ac:dyDescent="0.25">
      <c r="A17" s="200"/>
      <c r="B17" s="197"/>
      <c r="C17" s="74" t="s">
        <v>167</v>
      </c>
      <c r="D17" s="121"/>
      <c r="E17" s="69"/>
      <c r="G17" s="69"/>
      <c r="H17" s="69">
        <v>6</v>
      </c>
      <c r="I17" s="69"/>
      <c r="J17" s="69"/>
      <c r="K17" s="69"/>
      <c r="L17" s="69"/>
      <c r="M17" s="69"/>
      <c r="N17" s="69"/>
      <c r="O17" s="69"/>
      <c r="P17" s="69"/>
      <c r="Q17" s="122"/>
      <c r="R17" s="69"/>
      <c r="S17" s="69"/>
      <c r="T17" s="69"/>
      <c r="U17" s="101">
        <f t="shared" si="1"/>
        <v>6</v>
      </c>
      <c r="V17" s="69">
        <v>2</v>
      </c>
      <c r="W17" s="69">
        <v>2.5</v>
      </c>
      <c r="X17" s="69">
        <v>0</v>
      </c>
      <c r="Y17" s="75">
        <f t="shared" si="0"/>
        <v>10.5</v>
      </c>
      <c r="Z17" s="69"/>
      <c r="AA17" s="69"/>
      <c r="AB17" s="114" t="s">
        <v>13</v>
      </c>
      <c r="AC17" s="80">
        <f>J78</f>
        <v>24</v>
      </c>
      <c r="AD17" s="84">
        <f t="shared" si="2"/>
        <v>4.9281314168377825E-2</v>
      </c>
      <c r="AE17" s="84">
        <f t="shared" si="3"/>
        <v>0.18480492813141686</v>
      </c>
      <c r="AF17" s="80">
        <v>2</v>
      </c>
      <c r="AG17" s="85"/>
      <c r="AH17" s="69"/>
    </row>
    <row r="18" spans="1:34" x14ac:dyDescent="0.25">
      <c r="A18" s="200"/>
      <c r="B18" s="197">
        <v>5</v>
      </c>
      <c r="C18" s="74" t="s">
        <v>168</v>
      </c>
      <c r="D18" s="121"/>
      <c r="E18" s="69"/>
      <c r="G18" s="69"/>
      <c r="H18" s="69">
        <v>3</v>
      </c>
      <c r="I18" s="69"/>
      <c r="J18" s="69"/>
      <c r="K18" s="69"/>
      <c r="L18" s="69"/>
      <c r="M18" s="69"/>
      <c r="N18" s="69"/>
      <c r="O18" s="69"/>
      <c r="P18" s="69"/>
      <c r="Q18" s="122"/>
      <c r="R18" s="69">
        <v>2</v>
      </c>
      <c r="S18" s="69"/>
      <c r="T18" s="69"/>
      <c r="U18" s="101">
        <f t="shared" si="1"/>
        <v>3</v>
      </c>
      <c r="V18" s="69">
        <v>2</v>
      </c>
      <c r="W18" s="69">
        <v>2.5</v>
      </c>
      <c r="X18" s="69">
        <v>2</v>
      </c>
      <c r="Y18" s="75">
        <f t="shared" si="0"/>
        <v>9.5</v>
      </c>
      <c r="Z18" s="69"/>
      <c r="AA18" s="69"/>
      <c r="AB18" s="114" t="s">
        <v>14</v>
      </c>
      <c r="AC18" s="80">
        <f>K78</f>
        <v>9</v>
      </c>
      <c r="AD18" s="84">
        <f t="shared" si="2"/>
        <v>1.8480492813141684E-2</v>
      </c>
      <c r="AE18" s="84">
        <f t="shared" si="3"/>
        <v>0.20328542094455854</v>
      </c>
      <c r="AF18" s="80">
        <v>2</v>
      </c>
      <c r="AG18" s="85"/>
      <c r="AH18" s="69"/>
    </row>
    <row r="19" spans="1:34" x14ac:dyDescent="0.25">
      <c r="A19" s="200"/>
      <c r="B19" s="197"/>
      <c r="C19" s="74" t="s">
        <v>169</v>
      </c>
      <c r="D19" s="121"/>
      <c r="E19" s="69"/>
      <c r="F19" s="69"/>
      <c r="G19" s="69"/>
      <c r="H19" s="69"/>
      <c r="I19" s="69">
        <v>3</v>
      </c>
      <c r="J19" s="69"/>
      <c r="K19" s="69"/>
      <c r="L19" s="69"/>
      <c r="M19" s="69"/>
      <c r="N19" s="69"/>
      <c r="O19" s="69"/>
      <c r="P19" s="69"/>
      <c r="Q19" s="122"/>
      <c r="R19" s="69"/>
      <c r="S19" s="69"/>
      <c r="T19" s="69"/>
      <c r="U19" s="101">
        <f t="shared" si="1"/>
        <v>3</v>
      </c>
      <c r="V19" s="69">
        <v>2</v>
      </c>
      <c r="W19" s="69">
        <v>2.5</v>
      </c>
      <c r="X19" s="69">
        <v>0</v>
      </c>
      <c r="Y19" s="75">
        <f t="shared" si="0"/>
        <v>7.5</v>
      </c>
      <c r="Z19" s="69"/>
      <c r="AA19" s="69"/>
      <c r="AB19" s="114" t="s">
        <v>15</v>
      </c>
      <c r="AC19" s="80">
        <f>L78</f>
        <v>12</v>
      </c>
      <c r="AD19" s="84">
        <f t="shared" si="2"/>
        <v>2.4640657084188913E-2</v>
      </c>
      <c r="AE19" s="84">
        <f t="shared" si="3"/>
        <v>0.22792607802874745</v>
      </c>
      <c r="AF19" s="80">
        <v>2</v>
      </c>
      <c r="AG19" s="85"/>
      <c r="AH19" s="69"/>
    </row>
    <row r="20" spans="1:34" x14ac:dyDescent="0.25">
      <c r="A20" s="200"/>
      <c r="B20" s="197"/>
      <c r="C20" s="74" t="s">
        <v>170</v>
      </c>
      <c r="D20" s="121"/>
      <c r="E20" s="69"/>
      <c r="F20" s="69"/>
      <c r="G20" s="69"/>
      <c r="H20" s="69"/>
      <c r="I20" s="69">
        <v>3</v>
      </c>
      <c r="J20" s="69"/>
      <c r="K20" s="69"/>
      <c r="L20" s="69"/>
      <c r="M20" s="69"/>
      <c r="N20" s="69"/>
      <c r="O20" s="69"/>
      <c r="P20" s="69"/>
      <c r="Q20" s="122"/>
      <c r="R20" s="69"/>
      <c r="T20" s="69"/>
      <c r="U20" s="101">
        <f t="shared" si="1"/>
        <v>3</v>
      </c>
      <c r="V20" s="69">
        <v>2</v>
      </c>
      <c r="W20" s="69">
        <v>2.5</v>
      </c>
      <c r="X20" s="69">
        <v>0</v>
      </c>
      <c r="Y20" s="75">
        <f t="shared" si="0"/>
        <v>7.5</v>
      </c>
      <c r="Z20" s="69"/>
      <c r="AA20" s="69"/>
      <c r="AB20" s="114" t="s">
        <v>16</v>
      </c>
      <c r="AC20" s="80">
        <f>M78</f>
        <v>21</v>
      </c>
      <c r="AD20" s="84">
        <f t="shared" si="2"/>
        <v>4.3121149897330596E-2</v>
      </c>
      <c r="AE20" s="84">
        <f t="shared" si="3"/>
        <v>0.27104722792607805</v>
      </c>
      <c r="AF20" s="80">
        <v>2</v>
      </c>
      <c r="AG20" s="85"/>
      <c r="AH20" s="69"/>
    </row>
    <row r="21" spans="1:34" x14ac:dyDescent="0.25">
      <c r="A21" s="200"/>
      <c r="B21" s="197"/>
      <c r="C21" s="74" t="s">
        <v>171</v>
      </c>
      <c r="D21" s="121"/>
      <c r="E21" s="69"/>
      <c r="F21" s="69"/>
      <c r="G21" s="69"/>
      <c r="H21" s="69"/>
      <c r="I21" s="69">
        <v>3</v>
      </c>
      <c r="J21" s="69"/>
      <c r="K21" s="69"/>
      <c r="L21" s="69"/>
      <c r="M21" s="69"/>
      <c r="N21" s="69"/>
      <c r="O21" s="69"/>
      <c r="P21" s="69"/>
      <c r="Q21" s="122"/>
      <c r="R21" s="69"/>
      <c r="S21" s="69"/>
      <c r="T21" s="69"/>
      <c r="U21" s="101">
        <f t="shared" si="1"/>
        <v>3</v>
      </c>
      <c r="V21" s="69">
        <v>2</v>
      </c>
      <c r="W21" s="69">
        <v>2.5</v>
      </c>
      <c r="X21" s="69">
        <v>0</v>
      </c>
      <c r="Y21" s="75">
        <f t="shared" si="0"/>
        <v>7.5</v>
      </c>
      <c r="Z21" s="69"/>
      <c r="AA21" s="69"/>
      <c r="AB21" s="114" t="s">
        <v>17</v>
      </c>
      <c r="AC21" s="80">
        <f>N78</f>
        <v>18</v>
      </c>
      <c r="AD21" s="84">
        <f t="shared" si="2"/>
        <v>3.6960985626283367E-2</v>
      </c>
      <c r="AE21" s="84">
        <f t="shared" si="3"/>
        <v>0.30800821355236141</v>
      </c>
      <c r="AF21" s="80">
        <v>2</v>
      </c>
      <c r="AG21" s="85"/>
    </row>
    <row r="22" spans="1:34" x14ac:dyDescent="0.25">
      <c r="A22" s="200"/>
      <c r="B22" s="197">
        <v>6</v>
      </c>
      <c r="C22" s="74" t="s">
        <v>172</v>
      </c>
      <c r="D22" s="121"/>
      <c r="E22" s="69"/>
      <c r="F22" s="69"/>
      <c r="G22" s="69"/>
      <c r="H22" s="69"/>
      <c r="I22" s="69">
        <v>3</v>
      </c>
      <c r="J22" s="69"/>
      <c r="K22" s="69"/>
      <c r="L22" s="69"/>
      <c r="M22" s="69"/>
      <c r="N22" s="69"/>
      <c r="O22" s="69"/>
      <c r="P22" s="69"/>
      <c r="Q22" s="122"/>
      <c r="R22" s="69">
        <v>2</v>
      </c>
      <c r="T22" s="69"/>
      <c r="U22" s="101">
        <f t="shared" si="1"/>
        <v>3</v>
      </c>
      <c r="V22" s="69">
        <v>2</v>
      </c>
      <c r="W22" s="69">
        <v>2.5</v>
      </c>
      <c r="X22" s="69">
        <v>0</v>
      </c>
      <c r="Y22" s="75">
        <f t="shared" si="0"/>
        <v>7.5</v>
      </c>
      <c r="Z22" s="69"/>
      <c r="AA22" s="69"/>
      <c r="AB22" s="114" t="s">
        <v>18</v>
      </c>
      <c r="AC22" s="80">
        <f>O78</f>
        <v>15</v>
      </c>
      <c r="AD22" s="84">
        <f t="shared" si="2"/>
        <v>3.0800821355236138E-2</v>
      </c>
      <c r="AE22" s="84">
        <f t="shared" si="3"/>
        <v>0.33880903490759756</v>
      </c>
      <c r="AF22" s="80">
        <v>2</v>
      </c>
      <c r="AG22" s="85"/>
    </row>
    <row r="23" spans="1:34" x14ac:dyDescent="0.25">
      <c r="A23" s="200"/>
      <c r="B23" s="197"/>
      <c r="C23" s="74" t="s">
        <v>173</v>
      </c>
      <c r="D23" s="121"/>
      <c r="E23" s="69"/>
      <c r="F23" s="69"/>
      <c r="G23" s="69"/>
      <c r="H23" s="69"/>
      <c r="I23" s="69"/>
      <c r="J23" s="69">
        <v>6</v>
      </c>
      <c r="K23" s="69"/>
      <c r="L23" s="69"/>
      <c r="M23" s="69"/>
      <c r="N23" s="69"/>
      <c r="O23" s="69"/>
      <c r="P23" s="69"/>
      <c r="Q23" s="122"/>
      <c r="R23" s="69"/>
      <c r="S23" s="127" t="s">
        <v>163</v>
      </c>
      <c r="T23" s="69"/>
      <c r="U23" s="101">
        <f t="shared" si="1"/>
        <v>6</v>
      </c>
      <c r="V23" s="69">
        <v>2</v>
      </c>
      <c r="W23" s="69">
        <v>2.5</v>
      </c>
      <c r="X23" s="69">
        <v>2</v>
      </c>
      <c r="Y23" s="75">
        <f t="shared" si="0"/>
        <v>12.5</v>
      </c>
      <c r="Z23" s="69"/>
      <c r="AA23" s="69"/>
      <c r="AB23" s="114" t="s">
        <v>19</v>
      </c>
      <c r="AC23" s="80">
        <f>P78</f>
        <v>15</v>
      </c>
      <c r="AD23" s="84">
        <f t="shared" si="2"/>
        <v>3.0800821355236138E-2</v>
      </c>
      <c r="AE23" s="84">
        <f t="shared" si="3"/>
        <v>0.36960985626283371</v>
      </c>
      <c r="AF23" s="80">
        <v>2</v>
      </c>
      <c r="AG23" s="85"/>
    </row>
    <row r="24" spans="1:34" x14ac:dyDescent="0.25">
      <c r="A24" s="200"/>
      <c r="B24" s="197"/>
      <c r="C24" s="74" t="s">
        <v>174</v>
      </c>
      <c r="D24" s="121"/>
      <c r="E24" s="69"/>
      <c r="F24" s="69"/>
      <c r="G24" s="69"/>
      <c r="H24" s="69"/>
      <c r="I24" s="69"/>
      <c r="J24" s="69">
        <v>3</v>
      </c>
      <c r="K24" s="69"/>
      <c r="L24" s="69"/>
      <c r="M24" s="69"/>
      <c r="N24" s="69"/>
      <c r="O24" s="69"/>
      <c r="P24" s="69"/>
      <c r="Q24" s="122"/>
      <c r="R24" s="69"/>
      <c r="T24" s="69"/>
      <c r="U24" s="101">
        <f t="shared" si="1"/>
        <v>3</v>
      </c>
      <c r="V24" s="69">
        <v>2</v>
      </c>
      <c r="W24" s="69">
        <v>2.5</v>
      </c>
      <c r="X24" s="69">
        <v>0</v>
      </c>
      <c r="Y24" s="75">
        <f t="shared" si="0"/>
        <v>7.5</v>
      </c>
      <c r="Z24" s="69"/>
      <c r="AA24" s="69"/>
      <c r="AB24" s="114" t="s">
        <v>20</v>
      </c>
      <c r="AC24" s="107">
        <v>11</v>
      </c>
      <c r="AD24" s="84">
        <f t="shared" si="2"/>
        <v>2.2587268993839837E-2</v>
      </c>
      <c r="AE24" s="110">
        <f t="shared" si="3"/>
        <v>0.39219712525667355</v>
      </c>
      <c r="AF24" s="80">
        <v>2</v>
      </c>
      <c r="AG24" s="85"/>
    </row>
    <row r="25" spans="1:34" x14ac:dyDescent="0.25">
      <c r="A25" s="200"/>
      <c r="B25" s="197"/>
      <c r="C25" s="74" t="s">
        <v>175</v>
      </c>
      <c r="D25" s="121"/>
      <c r="E25" s="69"/>
      <c r="F25" s="69"/>
      <c r="G25" s="69"/>
      <c r="H25" s="69"/>
      <c r="I25" s="69"/>
      <c r="J25" s="69">
        <v>3</v>
      </c>
      <c r="K25" s="69"/>
      <c r="L25" s="69"/>
      <c r="M25" s="69"/>
      <c r="N25" s="69"/>
      <c r="O25" s="69"/>
      <c r="P25" s="69"/>
      <c r="Q25" s="122"/>
      <c r="R25" s="69"/>
      <c r="T25" s="69"/>
      <c r="U25" s="101">
        <f t="shared" si="1"/>
        <v>3</v>
      </c>
      <c r="V25" s="69">
        <v>2</v>
      </c>
      <c r="W25" s="69">
        <v>2.5</v>
      </c>
      <c r="X25" s="69">
        <v>0</v>
      </c>
      <c r="Y25" s="75">
        <f t="shared" si="0"/>
        <v>7.5</v>
      </c>
      <c r="Z25" s="69"/>
      <c r="AA25" s="69"/>
      <c r="AB25" s="68"/>
      <c r="AC25" s="109">
        <f>SUM(AC13:AC24)</f>
        <v>191</v>
      </c>
      <c r="AD25" s="108">
        <f>SUM(AC25/AC11)</f>
        <v>0.3921971252566735</v>
      </c>
      <c r="AE25" s="69"/>
      <c r="AF25" s="117">
        <f>SUM(AF13:AF24)</f>
        <v>24</v>
      </c>
      <c r="AG25" s="69"/>
    </row>
    <row r="26" spans="1:34" x14ac:dyDescent="0.25">
      <c r="A26" s="200"/>
      <c r="B26" s="197">
        <v>7</v>
      </c>
      <c r="C26" s="74" t="s">
        <v>176</v>
      </c>
      <c r="D26" s="121"/>
      <c r="E26" s="69"/>
      <c r="F26" s="69"/>
      <c r="G26" s="69"/>
      <c r="H26" s="69"/>
      <c r="I26" s="69"/>
      <c r="J26" s="69">
        <v>3</v>
      </c>
      <c r="K26" s="69"/>
      <c r="L26" s="69"/>
      <c r="M26" s="69"/>
      <c r="N26" s="69"/>
      <c r="O26" s="69"/>
      <c r="P26" s="69"/>
      <c r="Q26" s="122"/>
      <c r="R26" s="69">
        <v>2</v>
      </c>
      <c r="S26" s="69"/>
      <c r="T26" s="69"/>
      <c r="U26" s="101">
        <f t="shared" si="1"/>
        <v>3</v>
      </c>
      <c r="V26" s="69">
        <v>2</v>
      </c>
      <c r="W26" s="69">
        <v>2.5</v>
      </c>
      <c r="X26" s="69">
        <v>0</v>
      </c>
      <c r="Y26" s="75">
        <f t="shared" si="0"/>
        <v>7.5</v>
      </c>
      <c r="Z26" s="69"/>
      <c r="AA26" s="69"/>
      <c r="AB26" s="68"/>
      <c r="AC26" s="104" t="s">
        <v>158</v>
      </c>
      <c r="AD26" s="104" t="s">
        <v>159</v>
      </c>
      <c r="AE26" s="103" t="s">
        <v>160</v>
      </c>
      <c r="AF26" s="69"/>
      <c r="AG26" s="69"/>
    </row>
    <row r="27" spans="1:34" x14ac:dyDescent="0.25">
      <c r="A27" s="200"/>
      <c r="B27" s="197"/>
      <c r="C27" s="74" t="s">
        <v>177</v>
      </c>
      <c r="D27" s="121"/>
      <c r="E27" s="69"/>
      <c r="F27" s="69"/>
      <c r="G27" s="69"/>
      <c r="H27" s="69"/>
      <c r="I27" s="69"/>
      <c r="J27" s="69">
        <v>3</v>
      </c>
      <c r="K27" s="69"/>
      <c r="L27" s="69"/>
      <c r="M27" s="69"/>
      <c r="N27" s="69"/>
      <c r="O27" s="69"/>
      <c r="P27" s="69"/>
      <c r="Q27" s="122"/>
      <c r="R27" s="69"/>
      <c r="S27" s="69"/>
      <c r="T27" s="69"/>
      <c r="U27" s="101">
        <f t="shared" si="1"/>
        <v>3</v>
      </c>
      <c r="V27" s="69">
        <v>2</v>
      </c>
      <c r="W27" s="69">
        <v>2.5</v>
      </c>
      <c r="X27" s="69">
        <v>0</v>
      </c>
      <c r="Y27" s="75">
        <f t="shared" si="0"/>
        <v>7.5</v>
      </c>
      <c r="Z27" s="69"/>
      <c r="AA27" s="69"/>
      <c r="AB27" s="105" t="s">
        <v>178</v>
      </c>
      <c r="AC27" s="80">
        <v>10</v>
      </c>
      <c r="AD27" s="111">
        <v>0.2</v>
      </c>
      <c r="AE27" s="84">
        <v>0.2</v>
      </c>
    </row>
    <row r="28" spans="1:34" x14ac:dyDescent="0.25">
      <c r="A28" s="200"/>
      <c r="B28" s="197"/>
      <c r="C28" s="74" t="s">
        <v>179</v>
      </c>
      <c r="D28" s="121"/>
      <c r="E28" s="69"/>
      <c r="F28" s="69"/>
      <c r="G28" s="69"/>
      <c r="H28" s="69"/>
      <c r="I28" s="69"/>
      <c r="J28" s="69">
        <v>3</v>
      </c>
      <c r="K28" s="69"/>
      <c r="L28" s="69"/>
      <c r="M28" s="69"/>
      <c r="N28" s="69"/>
      <c r="O28" s="69"/>
      <c r="P28" s="69"/>
      <c r="Q28" s="122"/>
      <c r="R28" s="69"/>
      <c r="S28" s="69"/>
      <c r="T28" s="69"/>
      <c r="U28" s="101">
        <f t="shared" si="1"/>
        <v>3</v>
      </c>
      <c r="V28" s="69">
        <v>2</v>
      </c>
      <c r="W28" s="69">
        <v>2.5</v>
      </c>
      <c r="X28" s="69">
        <v>0</v>
      </c>
      <c r="Y28" s="75">
        <f t="shared" si="0"/>
        <v>7.5</v>
      </c>
      <c r="Z28" s="69"/>
      <c r="AA28" s="69"/>
      <c r="AB28" s="105" t="s">
        <v>180</v>
      </c>
      <c r="AC28" s="80">
        <v>10</v>
      </c>
      <c r="AD28" s="111">
        <v>0.2</v>
      </c>
      <c r="AE28" s="84">
        <v>0.4</v>
      </c>
    </row>
    <row r="29" spans="1:34" x14ac:dyDescent="0.25">
      <c r="A29" s="200"/>
      <c r="B29" s="197"/>
      <c r="C29" s="74" t="s">
        <v>181</v>
      </c>
      <c r="D29" s="121"/>
      <c r="E29" s="69"/>
      <c r="F29" s="69"/>
      <c r="G29" s="69"/>
      <c r="H29" s="69"/>
      <c r="I29" s="69"/>
      <c r="J29" s="117">
        <v>3</v>
      </c>
      <c r="L29" s="69"/>
      <c r="M29" s="69"/>
      <c r="N29" s="69"/>
      <c r="O29" s="69"/>
      <c r="P29" s="69"/>
      <c r="Q29" s="122"/>
      <c r="R29" s="69"/>
      <c r="S29" s="69"/>
      <c r="T29" s="69"/>
      <c r="U29" s="101">
        <f t="shared" si="1"/>
        <v>3</v>
      </c>
      <c r="V29" s="69">
        <v>2</v>
      </c>
      <c r="W29" s="69">
        <v>2.5</v>
      </c>
      <c r="X29" s="69">
        <v>0</v>
      </c>
      <c r="Y29" s="75">
        <f t="shared" si="0"/>
        <v>7.5</v>
      </c>
      <c r="Z29" s="69" t="s">
        <v>182</v>
      </c>
      <c r="AA29" s="69"/>
      <c r="AB29" s="105" t="s">
        <v>183</v>
      </c>
      <c r="AC29" s="80">
        <v>10</v>
      </c>
      <c r="AD29" s="111">
        <v>0.2</v>
      </c>
      <c r="AE29" s="84">
        <v>0.6</v>
      </c>
    </row>
    <row r="30" spans="1:34" x14ac:dyDescent="0.25">
      <c r="A30" s="200"/>
      <c r="B30" s="197">
        <v>8</v>
      </c>
      <c r="C30" s="74" t="s">
        <v>184</v>
      </c>
      <c r="D30" s="121"/>
      <c r="E30" s="69"/>
      <c r="F30" s="69"/>
      <c r="G30" s="69"/>
      <c r="H30" s="69"/>
      <c r="I30" s="69"/>
      <c r="J30" s="69"/>
      <c r="K30">
        <v>3</v>
      </c>
      <c r="L30" s="69"/>
      <c r="M30" s="69"/>
      <c r="N30" s="69"/>
      <c r="O30" s="69"/>
      <c r="P30" s="69"/>
      <c r="Q30" s="122"/>
      <c r="R30" s="69">
        <v>2</v>
      </c>
      <c r="T30" s="69"/>
      <c r="U30" s="101">
        <f t="shared" si="1"/>
        <v>3</v>
      </c>
      <c r="V30" s="69">
        <v>2</v>
      </c>
      <c r="W30" s="69">
        <v>2.5</v>
      </c>
      <c r="X30" s="69">
        <v>2</v>
      </c>
      <c r="Y30" s="75">
        <f t="shared" si="0"/>
        <v>9.5</v>
      </c>
      <c r="AA30" s="69"/>
      <c r="AB30" s="105" t="s">
        <v>185</v>
      </c>
      <c r="AC30" s="80">
        <v>10</v>
      </c>
      <c r="AD30" s="111">
        <v>0.2</v>
      </c>
      <c r="AE30" s="84">
        <v>0.8</v>
      </c>
    </row>
    <row r="31" spans="1:34" x14ac:dyDescent="0.25">
      <c r="A31" s="200"/>
      <c r="B31" s="197"/>
      <c r="C31" s="74" t="s">
        <v>186</v>
      </c>
      <c r="D31" s="121"/>
      <c r="E31" s="69"/>
      <c r="F31" s="69"/>
      <c r="G31" s="69"/>
      <c r="H31" s="69"/>
      <c r="I31" s="69"/>
      <c r="J31" s="69"/>
      <c r="K31" s="69">
        <v>3</v>
      </c>
      <c r="M31" s="69"/>
      <c r="N31" s="69"/>
      <c r="O31" s="69"/>
      <c r="P31" s="69"/>
      <c r="Q31" s="122"/>
      <c r="R31" s="69"/>
      <c r="S31" s="69"/>
      <c r="T31" s="69"/>
      <c r="U31" s="101">
        <f t="shared" si="1"/>
        <v>3</v>
      </c>
      <c r="V31" s="69">
        <v>2</v>
      </c>
      <c r="W31" s="69">
        <v>2.5</v>
      </c>
      <c r="X31" s="69">
        <v>0</v>
      </c>
      <c r="Y31" s="75">
        <f t="shared" si="0"/>
        <v>7.5</v>
      </c>
      <c r="Z31" s="69"/>
      <c r="AA31" s="69"/>
      <c r="AB31" s="105" t="s">
        <v>187</v>
      </c>
      <c r="AC31" s="107">
        <v>10</v>
      </c>
      <c r="AD31" s="112">
        <v>0.2</v>
      </c>
      <c r="AE31" s="110">
        <v>1</v>
      </c>
    </row>
    <row r="32" spans="1:34" x14ac:dyDescent="0.25">
      <c r="A32" s="200"/>
      <c r="B32" s="197"/>
      <c r="C32" s="74" t="s">
        <v>188</v>
      </c>
      <c r="D32" s="121"/>
      <c r="E32" s="69"/>
      <c r="F32" s="69"/>
      <c r="G32" s="69"/>
      <c r="H32" s="69"/>
      <c r="I32" s="69"/>
      <c r="J32" s="69"/>
      <c r="K32" s="69">
        <v>3</v>
      </c>
      <c r="M32" s="69"/>
      <c r="N32" s="69"/>
      <c r="O32" s="69"/>
      <c r="P32" s="69"/>
      <c r="Q32" s="122"/>
      <c r="R32" s="69"/>
      <c r="T32" s="69"/>
      <c r="U32" s="101">
        <f t="shared" si="1"/>
        <v>3</v>
      </c>
      <c r="V32" s="69">
        <v>2</v>
      </c>
      <c r="W32" s="69">
        <v>2.5</v>
      </c>
      <c r="X32" s="69">
        <v>0</v>
      </c>
      <c r="Y32" s="75">
        <f t="shared" si="0"/>
        <v>7.5</v>
      </c>
      <c r="Z32" s="69"/>
      <c r="AA32" s="69"/>
      <c r="AC32" s="60">
        <f>SUM(AC27:AC31)</f>
        <v>50</v>
      </c>
      <c r="AD32" s="113">
        <f>SUM(AD27:AD31)</f>
        <v>1</v>
      </c>
    </row>
    <row r="33" spans="1:34" x14ac:dyDescent="0.25">
      <c r="A33" s="200"/>
      <c r="B33" s="197"/>
      <c r="C33" s="74" t="s">
        <v>189</v>
      </c>
      <c r="D33" s="121"/>
      <c r="E33" s="69"/>
      <c r="F33" s="69"/>
      <c r="G33" s="69"/>
      <c r="H33" s="69"/>
      <c r="I33" s="69"/>
      <c r="J33" s="69"/>
      <c r="K33" s="69"/>
      <c r="L33" s="69">
        <v>3</v>
      </c>
      <c r="M33" s="69"/>
      <c r="N33" s="69"/>
      <c r="O33" s="69"/>
      <c r="P33" s="69"/>
      <c r="Q33" s="122"/>
      <c r="R33" s="69"/>
      <c r="S33" s="127" t="s">
        <v>163</v>
      </c>
      <c r="T33" s="69"/>
      <c r="U33" s="101">
        <f t="shared" si="1"/>
        <v>3</v>
      </c>
      <c r="V33" s="69">
        <v>2</v>
      </c>
      <c r="W33" s="69">
        <v>2.5</v>
      </c>
      <c r="X33" s="69">
        <v>0</v>
      </c>
      <c r="Y33" s="75">
        <f t="shared" si="0"/>
        <v>7.5</v>
      </c>
      <c r="Z33" s="69"/>
      <c r="AA33" s="69"/>
    </row>
    <row r="34" spans="1:34" x14ac:dyDescent="0.25">
      <c r="A34" s="200"/>
      <c r="B34" s="197">
        <v>9</v>
      </c>
      <c r="C34" s="74" t="s">
        <v>190</v>
      </c>
      <c r="D34" s="121"/>
      <c r="E34" s="69"/>
      <c r="F34" s="69"/>
      <c r="G34" s="69"/>
      <c r="H34" s="69"/>
      <c r="I34" s="69"/>
      <c r="J34" s="69"/>
      <c r="K34" s="69"/>
      <c r="L34" s="69">
        <v>3</v>
      </c>
      <c r="N34" s="69"/>
      <c r="O34" s="69"/>
      <c r="P34" s="69"/>
      <c r="Q34" s="122"/>
      <c r="R34" s="69">
        <v>2</v>
      </c>
      <c r="T34" s="69"/>
      <c r="U34" s="101">
        <f t="shared" si="1"/>
        <v>3</v>
      </c>
      <c r="V34" s="69">
        <v>2</v>
      </c>
      <c r="W34" s="69">
        <v>2.5</v>
      </c>
      <c r="X34" s="69">
        <v>2</v>
      </c>
      <c r="Y34" s="75">
        <f t="shared" ref="Y34:Y61" si="4">SUM(U34:X34)</f>
        <v>9.5</v>
      </c>
      <c r="Z34" s="69"/>
      <c r="AA34" s="69"/>
    </row>
    <row r="35" spans="1:34" x14ac:dyDescent="0.25">
      <c r="A35" s="200"/>
      <c r="B35" s="197"/>
      <c r="C35" s="74" t="s">
        <v>191</v>
      </c>
      <c r="D35" s="121"/>
      <c r="E35" s="69"/>
      <c r="F35" s="69"/>
      <c r="G35" s="69"/>
      <c r="H35" s="69"/>
      <c r="I35" s="69"/>
      <c r="J35" s="69"/>
      <c r="K35" s="69"/>
      <c r="L35" s="69">
        <v>3</v>
      </c>
      <c r="N35" s="69"/>
      <c r="O35" s="69"/>
      <c r="P35" s="69"/>
      <c r="Q35" s="122"/>
      <c r="R35" s="69"/>
      <c r="S35" s="69"/>
      <c r="T35" s="69"/>
      <c r="U35" s="101">
        <f t="shared" si="1"/>
        <v>3</v>
      </c>
      <c r="V35" s="69">
        <v>2</v>
      </c>
      <c r="W35" s="69">
        <v>2.5</v>
      </c>
      <c r="X35" s="69">
        <v>0</v>
      </c>
      <c r="Y35" s="75">
        <f t="shared" si="4"/>
        <v>7.5</v>
      </c>
      <c r="Z35" s="69"/>
      <c r="AA35" s="69"/>
    </row>
    <row r="36" spans="1:34" x14ac:dyDescent="0.25">
      <c r="A36" s="200"/>
      <c r="B36" s="197"/>
      <c r="C36" s="74" t="s">
        <v>192</v>
      </c>
      <c r="D36" s="121"/>
      <c r="E36" s="69"/>
      <c r="F36" s="69"/>
      <c r="G36" s="69"/>
      <c r="H36" s="69"/>
      <c r="I36" s="69"/>
      <c r="J36" s="69"/>
      <c r="K36" s="69"/>
      <c r="L36" s="117">
        <v>3</v>
      </c>
      <c r="N36" s="69"/>
      <c r="O36" s="69"/>
      <c r="P36" s="69"/>
      <c r="Q36" s="122"/>
      <c r="R36" s="69"/>
      <c r="S36" s="69"/>
      <c r="T36" s="69"/>
      <c r="U36" s="101">
        <f t="shared" si="1"/>
        <v>3</v>
      </c>
      <c r="V36" s="69">
        <v>2</v>
      </c>
      <c r="W36" s="69">
        <v>2.5</v>
      </c>
      <c r="X36" s="69">
        <v>0</v>
      </c>
      <c r="Y36" s="75">
        <f t="shared" si="4"/>
        <v>7.5</v>
      </c>
      <c r="Z36" s="69" t="s">
        <v>182</v>
      </c>
      <c r="AA36" s="69"/>
    </row>
    <row r="37" spans="1:34" x14ac:dyDescent="0.25">
      <c r="A37" s="200"/>
      <c r="B37" s="197"/>
      <c r="C37" s="74" t="s">
        <v>193</v>
      </c>
      <c r="D37" s="121"/>
      <c r="E37" s="69"/>
      <c r="F37" s="69"/>
      <c r="G37" s="69"/>
      <c r="H37" s="69"/>
      <c r="I37" s="69"/>
      <c r="J37" s="69"/>
      <c r="K37" s="69"/>
      <c r="M37" s="69">
        <v>3</v>
      </c>
      <c r="N37" s="69"/>
      <c r="O37" s="69"/>
      <c r="P37" s="69"/>
      <c r="Q37" s="122"/>
      <c r="R37" s="69"/>
      <c r="S37" s="69"/>
      <c r="T37" s="69"/>
      <c r="U37" s="101">
        <f t="shared" si="1"/>
        <v>3</v>
      </c>
      <c r="V37" s="69">
        <v>2</v>
      </c>
      <c r="W37" s="69">
        <v>2.5</v>
      </c>
      <c r="X37" s="69">
        <v>0</v>
      </c>
      <c r="Y37" s="75">
        <f t="shared" si="4"/>
        <v>7.5</v>
      </c>
      <c r="Z37" s="69"/>
      <c r="AA37" s="69"/>
    </row>
    <row r="38" spans="1:34" x14ac:dyDescent="0.25">
      <c r="A38" s="200"/>
      <c r="B38" s="197">
        <v>10</v>
      </c>
      <c r="C38" s="74" t="s">
        <v>194</v>
      </c>
      <c r="D38" s="121"/>
      <c r="E38" s="69"/>
      <c r="F38" s="69"/>
      <c r="G38" s="69"/>
      <c r="H38" s="69"/>
      <c r="I38" s="69"/>
      <c r="J38" s="69"/>
      <c r="K38" s="69"/>
      <c r="L38" s="69"/>
      <c r="M38" s="69">
        <v>3</v>
      </c>
      <c r="N38" s="69"/>
      <c r="O38" s="69"/>
      <c r="P38" s="69"/>
      <c r="Q38" s="122"/>
      <c r="R38" s="69">
        <v>2</v>
      </c>
      <c r="T38" s="69"/>
      <c r="U38" s="101">
        <f t="shared" si="1"/>
        <v>3</v>
      </c>
      <c r="V38" s="69">
        <v>2</v>
      </c>
      <c r="W38" s="69">
        <v>2.5</v>
      </c>
      <c r="X38" s="69">
        <v>2</v>
      </c>
      <c r="Y38" s="75">
        <f t="shared" si="4"/>
        <v>9.5</v>
      </c>
      <c r="Z38" s="69"/>
      <c r="AA38" s="69"/>
      <c r="AH38" s="69"/>
    </row>
    <row r="39" spans="1:34" x14ac:dyDescent="0.25">
      <c r="A39" s="200"/>
      <c r="B39" s="197"/>
      <c r="C39" s="74" t="s">
        <v>195</v>
      </c>
      <c r="D39" s="121"/>
      <c r="E39" s="69"/>
      <c r="F39" s="69"/>
      <c r="G39" s="69"/>
      <c r="H39" s="69"/>
      <c r="I39" s="69"/>
      <c r="J39" s="69"/>
      <c r="K39" s="69"/>
      <c r="L39" s="69"/>
      <c r="M39" s="69">
        <v>3</v>
      </c>
      <c r="N39" s="69"/>
      <c r="O39" s="69"/>
      <c r="P39" s="69"/>
      <c r="Q39" s="122"/>
      <c r="R39" s="69"/>
      <c r="S39" s="69"/>
      <c r="T39" s="69"/>
      <c r="U39" s="101">
        <f t="shared" si="1"/>
        <v>3</v>
      </c>
      <c r="V39" s="69">
        <v>2</v>
      </c>
      <c r="W39" s="69">
        <v>2.5</v>
      </c>
      <c r="X39" s="69">
        <v>0</v>
      </c>
      <c r="Y39" s="75">
        <f t="shared" si="4"/>
        <v>7.5</v>
      </c>
      <c r="Z39" s="69"/>
      <c r="AA39" s="69"/>
      <c r="AH39" s="69"/>
    </row>
    <row r="40" spans="1:34" x14ac:dyDescent="0.25">
      <c r="A40" s="200"/>
      <c r="B40" s="197"/>
      <c r="C40" s="74" t="s">
        <v>196</v>
      </c>
      <c r="D40" s="121"/>
      <c r="E40" s="69"/>
      <c r="F40" s="69"/>
      <c r="G40" s="69"/>
      <c r="H40" s="69"/>
      <c r="I40" s="69"/>
      <c r="J40" s="69"/>
      <c r="K40" s="69"/>
      <c r="L40" s="69"/>
      <c r="M40" s="69">
        <v>3</v>
      </c>
      <c r="O40" s="69"/>
      <c r="P40" s="69"/>
      <c r="Q40" s="122"/>
      <c r="R40" s="69"/>
      <c r="S40" s="69"/>
      <c r="T40" s="69"/>
      <c r="U40" s="101">
        <f t="shared" si="1"/>
        <v>3</v>
      </c>
      <c r="V40" s="69">
        <v>2</v>
      </c>
      <c r="W40" s="69">
        <v>2.5</v>
      </c>
      <c r="X40" s="69">
        <v>0</v>
      </c>
      <c r="Y40" s="75">
        <f t="shared" si="4"/>
        <v>7.5</v>
      </c>
      <c r="Z40" s="69"/>
      <c r="AA40" s="69"/>
      <c r="AH40" s="69"/>
    </row>
    <row r="41" spans="1:34" x14ac:dyDescent="0.25">
      <c r="A41" s="200"/>
      <c r="B41" s="197"/>
      <c r="C41" s="74" t="s">
        <v>197</v>
      </c>
      <c r="D41" s="121"/>
      <c r="E41" s="69"/>
      <c r="F41" s="69"/>
      <c r="G41" s="69"/>
      <c r="H41" s="69"/>
      <c r="I41" s="69"/>
      <c r="J41" s="69"/>
      <c r="K41" s="69"/>
      <c r="L41" s="69"/>
      <c r="M41" s="69">
        <v>3</v>
      </c>
      <c r="O41" s="69"/>
      <c r="P41" s="69"/>
      <c r="Q41" s="122"/>
      <c r="R41" s="69"/>
      <c r="S41" s="69"/>
      <c r="T41" s="69"/>
      <c r="U41" s="101">
        <f t="shared" si="1"/>
        <v>3</v>
      </c>
      <c r="V41" s="69">
        <v>2</v>
      </c>
      <c r="W41" s="69">
        <v>2.5</v>
      </c>
      <c r="X41" s="69">
        <v>0</v>
      </c>
      <c r="Y41" s="75">
        <f t="shared" si="4"/>
        <v>7.5</v>
      </c>
      <c r="Z41" s="69"/>
      <c r="AA41" s="69"/>
      <c r="AB41" s="69"/>
      <c r="AC41" s="69"/>
      <c r="AD41" s="69"/>
      <c r="AE41" s="69"/>
      <c r="AF41" s="69"/>
      <c r="AG41" s="69"/>
      <c r="AH41" s="69"/>
    </row>
    <row r="42" spans="1:34" x14ac:dyDescent="0.25">
      <c r="A42" s="200"/>
      <c r="B42" s="197">
        <v>11</v>
      </c>
      <c r="C42" s="74" t="s">
        <v>198</v>
      </c>
      <c r="D42" s="121"/>
      <c r="E42" s="69"/>
      <c r="F42" s="69"/>
      <c r="G42" s="69"/>
      <c r="H42" s="69"/>
      <c r="I42" s="69"/>
      <c r="J42" s="69"/>
      <c r="K42" s="69"/>
      <c r="L42" s="69"/>
      <c r="M42" s="69">
        <v>6</v>
      </c>
      <c r="O42" s="69"/>
      <c r="P42" s="69"/>
      <c r="Q42" s="122"/>
      <c r="R42" s="69">
        <v>2</v>
      </c>
      <c r="T42" s="69"/>
      <c r="U42" s="101">
        <f t="shared" si="1"/>
        <v>6</v>
      </c>
      <c r="V42" s="69">
        <v>2</v>
      </c>
      <c r="W42" s="69">
        <v>2.5</v>
      </c>
      <c r="X42" s="69">
        <v>0</v>
      </c>
      <c r="Y42" s="75">
        <f t="shared" si="4"/>
        <v>10.5</v>
      </c>
      <c r="Z42" s="69"/>
      <c r="AA42" s="69"/>
      <c r="AB42" s="69"/>
      <c r="AC42" s="69"/>
      <c r="AD42" s="69"/>
      <c r="AE42" s="69"/>
      <c r="AF42" s="69"/>
      <c r="AG42" s="69"/>
      <c r="AH42" s="69"/>
    </row>
    <row r="43" spans="1:34" x14ac:dyDescent="0.25">
      <c r="A43" s="200"/>
      <c r="B43" s="197"/>
      <c r="C43" s="74" t="s">
        <v>199</v>
      </c>
      <c r="D43" s="121"/>
      <c r="E43" s="69"/>
      <c r="F43" s="69"/>
      <c r="G43" s="69"/>
      <c r="H43" s="69"/>
      <c r="I43" s="69"/>
      <c r="J43" s="69"/>
      <c r="K43" s="69"/>
      <c r="L43" s="69"/>
      <c r="M43" s="69"/>
      <c r="N43" s="69">
        <v>3</v>
      </c>
      <c r="O43" s="69"/>
      <c r="P43" s="69"/>
      <c r="Q43" s="122"/>
      <c r="R43" s="69"/>
      <c r="S43" s="127" t="s">
        <v>163</v>
      </c>
      <c r="T43" s="69"/>
      <c r="U43" s="101">
        <f t="shared" si="1"/>
        <v>3</v>
      </c>
      <c r="V43" s="69">
        <v>2</v>
      </c>
      <c r="W43" s="69">
        <v>2.5</v>
      </c>
      <c r="X43" s="69">
        <v>0</v>
      </c>
      <c r="Y43" s="75">
        <f t="shared" si="4"/>
        <v>7.5</v>
      </c>
      <c r="Z43" s="69"/>
      <c r="AA43" s="69"/>
      <c r="AB43" s="69"/>
      <c r="AC43" s="69"/>
      <c r="AD43" s="69"/>
      <c r="AE43" s="69"/>
      <c r="AF43" s="69"/>
      <c r="AG43" s="69"/>
      <c r="AH43" s="69"/>
    </row>
    <row r="44" spans="1:34" x14ac:dyDescent="0.25">
      <c r="A44" s="200"/>
      <c r="B44" s="197"/>
      <c r="C44" s="74" t="s">
        <v>200</v>
      </c>
      <c r="D44" s="121"/>
      <c r="E44" s="69"/>
      <c r="F44" s="69"/>
      <c r="G44" s="69"/>
      <c r="H44" s="69"/>
      <c r="I44" s="69"/>
      <c r="J44" s="69"/>
      <c r="K44" s="69"/>
      <c r="L44" s="69"/>
      <c r="M44" s="69"/>
      <c r="N44" s="69">
        <v>3</v>
      </c>
      <c r="O44" s="69"/>
      <c r="P44" s="69"/>
      <c r="Q44" s="122"/>
      <c r="R44" s="69"/>
      <c r="T44" s="69"/>
      <c r="U44" s="101">
        <f t="shared" si="1"/>
        <v>3</v>
      </c>
      <c r="V44" s="69">
        <v>2</v>
      </c>
      <c r="W44" s="69">
        <v>2.5</v>
      </c>
      <c r="X44" s="69">
        <v>0</v>
      </c>
      <c r="Y44" s="75">
        <f t="shared" si="4"/>
        <v>7.5</v>
      </c>
      <c r="Z44" s="69"/>
      <c r="AA44" s="69"/>
      <c r="AB44" s="69"/>
      <c r="AC44" s="69"/>
      <c r="AD44" s="69"/>
      <c r="AE44" s="69"/>
      <c r="AF44" s="69"/>
      <c r="AG44" s="69"/>
      <c r="AH44" s="69"/>
    </row>
    <row r="45" spans="1:34" x14ac:dyDescent="0.25">
      <c r="A45" s="200"/>
      <c r="B45" s="197"/>
      <c r="C45" s="74" t="s">
        <v>201</v>
      </c>
      <c r="D45" s="121"/>
      <c r="E45" s="69"/>
      <c r="F45" s="69"/>
      <c r="G45" s="69"/>
      <c r="H45" s="69"/>
      <c r="I45" s="69"/>
      <c r="J45" s="69"/>
      <c r="K45" s="69"/>
      <c r="L45" s="69"/>
      <c r="M45" s="69"/>
      <c r="N45" s="69">
        <v>3</v>
      </c>
      <c r="P45" s="69"/>
      <c r="Q45" s="122"/>
      <c r="R45" s="69"/>
      <c r="S45" s="69"/>
      <c r="T45" s="69"/>
      <c r="U45" s="101">
        <f t="shared" si="1"/>
        <v>3</v>
      </c>
      <c r="V45" s="69">
        <v>2</v>
      </c>
      <c r="W45" s="69">
        <v>2.5</v>
      </c>
      <c r="X45" s="69">
        <v>0</v>
      </c>
      <c r="Y45" s="75">
        <f t="shared" si="4"/>
        <v>7.5</v>
      </c>
      <c r="Z45" s="69"/>
      <c r="AA45" s="69"/>
      <c r="AB45" s="69"/>
      <c r="AC45" s="69"/>
      <c r="AD45" s="69"/>
      <c r="AE45" s="69"/>
      <c r="AF45" s="69"/>
      <c r="AG45" s="69"/>
      <c r="AH45" s="69"/>
    </row>
    <row r="46" spans="1:34" x14ac:dyDescent="0.25">
      <c r="A46" s="200"/>
      <c r="B46" s="197">
        <v>12</v>
      </c>
      <c r="C46" s="74" t="s">
        <v>202</v>
      </c>
      <c r="D46" s="121"/>
      <c r="E46" s="69"/>
      <c r="F46" s="69"/>
      <c r="G46" s="69"/>
      <c r="H46" s="69"/>
      <c r="I46" s="69"/>
      <c r="J46" s="69"/>
      <c r="K46" s="69"/>
      <c r="L46" s="69"/>
      <c r="M46" s="69"/>
      <c r="N46" s="69">
        <v>3</v>
      </c>
      <c r="P46" s="69"/>
      <c r="Q46" s="122"/>
      <c r="R46" s="69">
        <v>2</v>
      </c>
      <c r="S46" s="69"/>
      <c r="T46" s="69"/>
      <c r="U46" s="101">
        <f t="shared" si="1"/>
        <v>3</v>
      </c>
      <c r="V46" s="69">
        <v>2</v>
      </c>
      <c r="W46" s="69">
        <v>2.5</v>
      </c>
      <c r="X46" s="69">
        <v>2</v>
      </c>
      <c r="Y46" s="75">
        <f t="shared" si="4"/>
        <v>9.5</v>
      </c>
      <c r="Z46" s="69"/>
      <c r="AA46" s="69"/>
      <c r="AB46" s="69"/>
      <c r="AC46" s="69"/>
      <c r="AD46" s="69"/>
      <c r="AE46" s="69"/>
      <c r="AF46" s="69"/>
      <c r="AG46" s="69"/>
      <c r="AH46" s="69"/>
    </row>
    <row r="47" spans="1:34" x14ac:dyDescent="0.25">
      <c r="A47" s="200"/>
      <c r="B47" s="197"/>
      <c r="C47" s="74" t="s">
        <v>203</v>
      </c>
      <c r="D47" s="121"/>
      <c r="E47" s="69"/>
      <c r="F47" s="69"/>
      <c r="G47" s="69"/>
      <c r="H47" s="69"/>
      <c r="I47" s="69"/>
      <c r="J47" s="69"/>
      <c r="K47" s="69"/>
      <c r="L47" s="69"/>
      <c r="M47" s="69"/>
      <c r="N47" s="69">
        <v>3</v>
      </c>
      <c r="P47" s="69"/>
      <c r="Q47" s="122"/>
      <c r="R47" s="69"/>
      <c r="S47" s="69"/>
      <c r="T47" s="69"/>
      <c r="U47" s="101">
        <f t="shared" si="1"/>
        <v>3</v>
      </c>
      <c r="V47" s="69">
        <v>2</v>
      </c>
      <c r="W47" s="69">
        <v>2.5</v>
      </c>
      <c r="X47" s="69">
        <v>0</v>
      </c>
      <c r="Y47" s="75">
        <f t="shared" si="4"/>
        <v>7.5</v>
      </c>
      <c r="Z47" s="69"/>
      <c r="AA47" s="69"/>
      <c r="AB47" s="69"/>
      <c r="AC47" s="69"/>
      <c r="AD47" s="69"/>
      <c r="AE47" s="69"/>
      <c r="AF47" s="69"/>
      <c r="AG47" s="69"/>
      <c r="AH47" s="69"/>
    </row>
    <row r="48" spans="1:34" x14ac:dyDescent="0.25">
      <c r="A48" s="200"/>
      <c r="B48" s="197"/>
      <c r="C48" s="74" t="s">
        <v>204</v>
      </c>
      <c r="D48" s="121"/>
      <c r="E48" s="69"/>
      <c r="F48" s="69"/>
      <c r="G48" s="69"/>
      <c r="H48" s="69"/>
      <c r="I48" s="69"/>
      <c r="J48" s="69"/>
      <c r="K48" s="69"/>
      <c r="L48" s="69"/>
      <c r="M48" s="69"/>
      <c r="N48" s="117">
        <v>3</v>
      </c>
      <c r="P48" s="69"/>
      <c r="Q48" s="122"/>
      <c r="R48" s="69"/>
      <c r="S48" s="69"/>
      <c r="T48" s="69"/>
      <c r="U48" s="101">
        <f t="shared" si="1"/>
        <v>3</v>
      </c>
      <c r="V48" s="69">
        <v>2</v>
      </c>
      <c r="W48" s="69">
        <v>2.5</v>
      </c>
      <c r="X48" s="69">
        <v>2</v>
      </c>
      <c r="Y48" s="75">
        <f t="shared" si="4"/>
        <v>9.5</v>
      </c>
      <c r="Z48" s="69" t="s">
        <v>182</v>
      </c>
      <c r="AA48" s="69"/>
      <c r="AB48" s="69"/>
      <c r="AC48" s="69"/>
      <c r="AD48" s="69"/>
      <c r="AE48" s="69"/>
      <c r="AF48" s="69"/>
      <c r="AG48" s="69"/>
      <c r="AH48" s="69"/>
    </row>
    <row r="49" spans="1:34" x14ac:dyDescent="0.25">
      <c r="A49" s="200"/>
      <c r="B49" s="197"/>
      <c r="C49" s="74" t="s">
        <v>205</v>
      </c>
      <c r="D49" s="121"/>
      <c r="E49" s="69"/>
      <c r="F49" s="69"/>
      <c r="G49" s="69"/>
      <c r="H49" s="69"/>
      <c r="I49" s="69"/>
      <c r="J49" s="69"/>
      <c r="K49" s="69"/>
      <c r="L49" s="69"/>
      <c r="M49" s="69"/>
      <c r="N49" s="117"/>
      <c r="O49" s="69">
        <v>3</v>
      </c>
      <c r="P49" s="69"/>
      <c r="Q49" s="122"/>
      <c r="R49" s="69"/>
      <c r="T49" s="69"/>
      <c r="U49" s="101">
        <f t="shared" si="1"/>
        <v>3</v>
      </c>
      <c r="V49" s="69">
        <v>2</v>
      </c>
      <c r="W49" s="69">
        <v>2.5</v>
      </c>
      <c r="X49" s="69">
        <v>0</v>
      </c>
      <c r="Y49" s="75">
        <f t="shared" si="4"/>
        <v>7.5</v>
      </c>
      <c r="Z49" s="69"/>
      <c r="AA49" s="69"/>
      <c r="AB49" s="69"/>
      <c r="AC49" s="69"/>
      <c r="AD49" s="69"/>
      <c r="AE49" s="69"/>
      <c r="AF49" s="69"/>
      <c r="AG49" s="69"/>
      <c r="AH49" s="69"/>
    </row>
    <row r="50" spans="1:34" x14ac:dyDescent="0.25">
      <c r="A50" s="200"/>
      <c r="B50" s="197">
        <v>13</v>
      </c>
      <c r="C50" s="74" t="s">
        <v>206</v>
      </c>
      <c r="D50" s="121"/>
      <c r="E50" s="69"/>
      <c r="F50" s="69"/>
      <c r="G50" s="69"/>
      <c r="H50" s="69"/>
      <c r="I50" s="69"/>
      <c r="J50" s="69"/>
      <c r="K50" s="69"/>
      <c r="L50" s="69"/>
      <c r="M50" s="69"/>
      <c r="N50" s="69"/>
      <c r="O50" s="69">
        <v>3</v>
      </c>
      <c r="Q50" s="122"/>
      <c r="R50" s="69">
        <v>2</v>
      </c>
      <c r="S50" s="69"/>
      <c r="T50" s="69"/>
      <c r="U50" s="101">
        <f t="shared" si="1"/>
        <v>3</v>
      </c>
      <c r="V50" s="69">
        <v>2</v>
      </c>
      <c r="W50" s="69">
        <v>2.5</v>
      </c>
      <c r="X50" s="69">
        <v>0</v>
      </c>
      <c r="Y50" s="75">
        <f t="shared" si="4"/>
        <v>7.5</v>
      </c>
      <c r="Z50" s="69"/>
      <c r="AA50" s="69"/>
      <c r="AB50" s="69"/>
      <c r="AC50" s="69"/>
      <c r="AD50" s="69"/>
      <c r="AE50" s="69"/>
      <c r="AF50" s="69"/>
      <c r="AG50" s="69"/>
      <c r="AH50" s="69"/>
    </row>
    <row r="51" spans="1:34" x14ac:dyDescent="0.25">
      <c r="A51" s="200"/>
      <c r="B51" s="197"/>
      <c r="C51" s="74" t="s">
        <v>207</v>
      </c>
      <c r="D51" s="121"/>
      <c r="E51" s="69"/>
      <c r="F51" s="69"/>
      <c r="G51" s="69"/>
      <c r="H51" s="69"/>
      <c r="I51" s="69"/>
      <c r="J51" s="69"/>
      <c r="K51" s="69"/>
      <c r="L51" s="69"/>
      <c r="M51" s="69"/>
      <c r="N51" s="69"/>
      <c r="O51" s="69">
        <v>3</v>
      </c>
      <c r="Q51" s="122"/>
      <c r="R51" s="69"/>
      <c r="S51" s="69"/>
      <c r="T51" s="69"/>
      <c r="U51" s="101">
        <f t="shared" si="1"/>
        <v>3</v>
      </c>
      <c r="V51" s="69">
        <v>2</v>
      </c>
      <c r="W51" s="69">
        <v>2.5</v>
      </c>
      <c r="X51" s="69">
        <v>0</v>
      </c>
      <c r="Y51" s="75">
        <f t="shared" si="4"/>
        <v>7.5</v>
      </c>
      <c r="Z51" s="69"/>
      <c r="AA51" s="69"/>
      <c r="AB51" s="69"/>
      <c r="AC51" s="69"/>
      <c r="AD51" s="69"/>
      <c r="AE51" s="69"/>
      <c r="AF51" s="69"/>
      <c r="AG51" s="69"/>
      <c r="AH51" s="69"/>
    </row>
    <row r="52" spans="1:34" x14ac:dyDescent="0.25">
      <c r="A52" s="200"/>
      <c r="B52" s="197"/>
      <c r="C52" s="74" t="s">
        <v>208</v>
      </c>
      <c r="D52" s="121"/>
      <c r="E52" s="69"/>
      <c r="F52" s="69"/>
      <c r="G52" s="69"/>
      <c r="H52" s="69"/>
      <c r="I52" s="69"/>
      <c r="J52" s="69"/>
      <c r="K52" s="69"/>
      <c r="L52" s="69"/>
      <c r="M52" s="69"/>
      <c r="N52" s="69"/>
      <c r="O52" s="69">
        <v>3</v>
      </c>
      <c r="Q52" s="122"/>
      <c r="R52" s="69"/>
      <c r="T52" s="69"/>
      <c r="U52" s="101">
        <f t="shared" si="1"/>
        <v>3</v>
      </c>
      <c r="V52" s="69">
        <v>2</v>
      </c>
      <c r="W52" s="69">
        <v>2.5</v>
      </c>
      <c r="X52" s="69">
        <v>2</v>
      </c>
      <c r="Y52" s="75">
        <f t="shared" si="4"/>
        <v>9.5</v>
      </c>
      <c r="Z52" s="69"/>
      <c r="AA52" s="69"/>
      <c r="AB52" s="69"/>
      <c r="AC52" s="69"/>
      <c r="AD52" s="69"/>
      <c r="AE52" s="69"/>
      <c r="AF52" s="69"/>
      <c r="AG52" s="69"/>
      <c r="AH52" s="69"/>
    </row>
    <row r="53" spans="1:34" x14ac:dyDescent="0.25">
      <c r="A53" s="200"/>
      <c r="B53" s="197"/>
      <c r="C53" s="74" t="s">
        <v>209</v>
      </c>
      <c r="D53" s="121"/>
      <c r="E53" s="69"/>
      <c r="F53" s="69"/>
      <c r="G53" s="69"/>
      <c r="H53" s="69"/>
      <c r="I53" s="69"/>
      <c r="J53" s="69"/>
      <c r="K53" s="69"/>
      <c r="L53" s="69"/>
      <c r="M53" s="69"/>
      <c r="N53" s="69"/>
      <c r="O53" s="69">
        <v>3</v>
      </c>
      <c r="Q53" s="122"/>
      <c r="R53" s="69"/>
      <c r="S53" s="127"/>
      <c r="T53" s="69"/>
      <c r="U53" s="101">
        <f t="shared" si="1"/>
        <v>3</v>
      </c>
      <c r="V53" s="69">
        <v>2</v>
      </c>
      <c r="W53" s="69">
        <v>2.5</v>
      </c>
      <c r="X53" s="69">
        <v>0</v>
      </c>
      <c r="Y53" s="75">
        <f t="shared" si="4"/>
        <v>7.5</v>
      </c>
      <c r="Z53" s="69"/>
      <c r="AA53" s="69"/>
      <c r="AB53" s="69"/>
      <c r="AC53" s="69"/>
      <c r="AD53" s="69"/>
      <c r="AE53" s="69"/>
      <c r="AF53" s="69"/>
      <c r="AG53" s="69"/>
      <c r="AH53" s="69"/>
    </row>
    <row r="54" spans="1:34" ht="15" customHeight="1" x14ac:dyDescent="0.25">
      <c r="A54" s="200"/>
      <c r="B54" s="197">
        <v>14</v>
      </c>
      <c r="C54" s="74" t="s">
        <v>210</v>
      </c>
      <c r="D54" s="121"/>
      <c r="E54" s="69"/>
      <c r="F54" s="69"/>
      <c r="G54" s="69"/>
      <c r="H54" s="69"/>
      <c r="I54" s="69"/>
      <c r="J54" s="69"/>
      <c r="K54" s="69"/>
      <c r="L54" s="69"/>
      <c r="M54" s="69"/>
      <c r="N54" s="69"/>
      <c r="O54" s="69"/>
      <c r="P54" s="69">
        <v>3</v>
      </c>
      <c r="Q54" s="122"/>
      <c r="R54" s="69">
        <v>2</v>
      </c>
      <c r="T54" s="69"/>
      <c r="U54" s="101">
        <f t="shared" si="1"/>
        <v>3</v>
      </c>
      <c r="V54" s="69">
        <v>2</v>
      </c>
      <c r="W54" s="69">
        <v>2.5</v>
      </c>
      <c r="X54" s="69">
        <v>0</v>
      </c>
      <c r="Y54" s="75">
        <f t="shared" si="4"/>
        <v>7.5</v>
      </c>
      <c r="Z54" s="69"/>
      <c r="AA54" s="69"/>
      <c r="AB54" s="69"/>
      <c r="AC54" s="69"/>
      <c r="AD54" s="69"/>
      <c r="AE54" s="69"/>
      <c r="AF54" s="69"/>
      <c r="AG54" s="69"/>
      <c r="AH54" s="69"/>
    </row>
    <row r="55" spans="1:34" x14ac:dyDescent="0.25">
      <c r="A55" s="200"/>
      <c r="B55" s="197"/>
      <c r="C55" s="74" t="s">
        <v>211</v>
      </c>
      <c r="D55" s="121"/>
      <c r="E55" s="69"/>
      <c r="F55" s="69"/>
      <c r="G55" s="69"/>
      <c r="H55" s="69"/>
      <c r="I55" s="69"/>
      <c r="J55" s="69"/>
      <c r="K55" s="69"/>
      <c r="L55" s="69"/>
      <c r="M55" s="69"/>
      <c r="N55" s="69"/>
      <c r="O55" s="69"/>
      <c r="P55" s="69">
        <v>3</v>
      </c>
      <c r="Q55" s="123"/>
      <c r="R55" s="69"/>
      <c r="S55" s="69"/>
      <c r="T55" s="69"/>
      <c r="U55" s="101">
        <f t="shared" si="1"/>
        <v>3</v>
      </c>
      <c r="V55" s="69">
        <v>2</v>
      </c>
      <c r="W55" s="69">
        <v>2.5</v>
      </c>
      <c r="X55" s="69">
        <v>0</v>
      </c>
      <c r="Y55" s="75">
        <f t="shared" si="4"/>
        <v>7.5</v>
      </c>
      <c r="Z55" s="69"/>
      <c r="AA55" s="69"/>
      <c r="AB55" s="69"/>
      <c r="AC55" s="69"/>
      <c r="AD55" s="69"/>
      <c r="AE55" s="69"/>
      <c r="AF55" s="69"/>
      <c r="AG55" s="69"/>
      <c r="AH55" s="69"/>
    </row>
    <row r="56" spans="1:34" x14ac:dyDescent="0.25">
      <c r="A56" s="200"/>
      <c r="B56" s="197"/>
      <c r="C56" s="74" t="s">
        <v>212</v>
      </c>
      <c r="D56" s="121"/>
      <c r="E56" s="69"/>
      <c r="F56" s="69"/>
      <c r="G56" s="69"/>
      <c r="H56" s="69"/>
      <c r="I56" s="69"/>
      <c r="J56" s="69"/>
      <c r="K56" s="69"/>
      <c r="L56" s="69"/>
      <c r="M56" s="69"/>
      <c r="N56" s="69"/>
      <c r="O56" s="69"/>
      <c r="P56" s="69">
        <v>3</v>
      </c>
      <c r="Q56" s="123"/>
      <c r="R56" s="69"/>
      <c r="T56" s="69"/>
      <c r="U56" s="101">
        <f t="shared" si="1"/>
        <v>3</v>
      </c>
      <c r="V56" s="69">
        <v>2</v>
      </c>
      <c r="W56" s="69">
        <v>2.5</v>
      </c>
      <c r="X56" s="69">
        <v>0</v>
      </c>
      <c r="Y56" s="75">
        <f t="shared" si="4"/>
        <v>7.5</v>
      </c>
      <c r="Z56" s="69"/>
      <c r="AA56" s="69"/>
      <c r="AB56" s="69"/>
      <c r="AC56" s="69"/>
      <c r="AD56" s="69"/>
      <c r="AE56" s="69"/>
      <c r="AF56" s="69"/>
      <c r="AG56" s="69"/>
      <c r="AH56" s="69"/>
    </row>
    <row r="57" spans="1:34" x14ac:dyDescent="0.25">
      <c r="A57" s="200"/>
      <c r="B57" s="197"/>
      <c r="C57" s="74" t="s">
        <v>213</v>
      </c>
      <c r="D57" s="121"/>
      <c r="E57" s="69"/>
      <c r="F57" s="69"/>
      <c r="G57" s="69"/>
      <c r="H57" s="69"/>
      <c r="I57" s="69"/>
      <c r="J57" s="69"/>
      <c r="K57" s="69"/>
      <c r="L57" s="69"/>
      <c r="M57" s="69"/>
      <c r="N57" s="69"/>
      <c r="O57" s="69"/>
      <c r="P57" s="69">
        <v>3</v>
      </c>
      <c r="Q57" s="123"/>
      <c r="R57" s="69"/>
      <c r="S57" s="69"/>
      <c r="T57" s="69"/>
      <c r="U57" s="101">
        <f t="shared" si="1"/>
        <v>3</v>
      </c>
      <c r="V57" s="69">
        <v>2</v>
      </c>
      <c r="W57" s="69">
        <v>2.5</v>
      </c>
      <c r="X57" s="69">
        <v>0</v>
      </c>
      <c r="Y57" s="75">
        <f t="shared" si="4"/>
        <v>7.5</v>
      </c>
      <c r="Z57" s="69"/>
      <c r="AA57" s="69"/>
      <c r="AB57" s="69"/>
      <c r="AC57" s="69"/>
      <c r="AD57" s="69"/>
      <c r="AE57" s="69"/>
      <c r="AF57" s="69"/>
      <c r="AG57" s="69"/>
      <c r="AH57" s="69"/>
    </row>
    <row r="58" spans="1:34" x14ac:dyDescent="0.25">
      <c r="A58" s="200"/>
      <c r="B58" s="197">
        <v>15</v>
      </c>
      <c r="C58" s="74" t="s">
        <v>214</v>
      </c>
      <c r="D58" s="121"/>
      <c r="E58" s="69"/>
      <c r="F58" s="69"/>
      <c r="G58" s="69"/>
      <c r="H58" s="69"/>
      <c r="I58" s="69"/>
      <c r="J58" s="69"/>
      <c r="K58" s="69"/>
      <c r="L58" s="69"/>
      <c r="M58" s="69"/>
      <c r="N58" s="69"/>
      <c r="O58" s="69"/>
      <c r="P58" s="69">
        <v>3</v>
      </c>
      <c r="Q58" s="123"/>
      <c r="R58" s="69">
        <v>2</v>
      </c>
      <c r="S58" s="69"/>
      <c r="T58" s="69"/>
      <c r="U58" s="101">
        <f t="shared" si="1"/>
        <v>3</v>
      </c>
      <c r="V58" s="69">
        <v>2</v>
      </c>
      <c r="W58" s="69">
        <v>2.5</v>
      </c>
      <c r="X58" s="69">
        <v>2</v>
      </c>
      <c r="Y58" s="75">
        <f t="shared" si="4"/>
        <v>9.5</v>
      </c>
      <c r="Z58" s="69"/>
      <c r="AA58" s="69"/>
      <c r="AB58" s="69"/>
      <c r="AC58" s="69"/>
      <c r="AD58" s="69"/>
      <c r="AE58" s="69"/>
      <c r="AF58" s="69"/>
      <c r="AG58" s="69"/>
      <c r="AH58" s="69"/>
    </row>
    <row r="59" spans="1:34" x14ac:dyDescent="0.25">
      <c r="A59" s="200"/>
      <c r="B59" s="197"/>
      <c r="C59" s="74" t="s">
        <v>215</v>
      </c>
      <c r="D59" s="121"/>
      <c r="E59" s="69"/>
      <c r="F59" s="69"/>
      <c r="G59" s="69"/>
      <c r="H59" s="69"/>
      <c r="I59" s="69"/>
      <c r="J59" s="69"/>
      <c r="K59" s="69"/>
      <c r="L59" s="69"/>
      <c r="M59" s="69"/>
      <c r="N59" s="69"/>
      <c r="O59" s="69"/>
      <c r="P59" s="69"/>
      <c r="Q59" s="122">
        <v>3</v>
      </c>
      <c r="R59" s="69"/>
      <c r="S59" s="69"/>
      <c r="T59" s="69"/>
      <c r="U59" s="101">
        <f>SUM(C59:Q59)</f>
        <v>3</v>
      </c>
      <c r="V59" s="69">
        <v>2</v>
      </c>
      <c r="W59" s="69">
        <v>2.5</v>
      </c>
      <c r="X59" s="69">
        <v>0</v>
      </c>
      <c r="Y59" s="75">
        <f t="shared" si="4"/>
        <v>7.5</v>
      </c>
      <c r="Z59" s="69"/>
      <c r="AA59" s="69"/>
      <c r="AB59" s="69"/>
      <c r="AC59" s="69"/>
      <c r="AD59" s="69"/>
      <c r="AE59" s="69"/>
      <c r="AF59" s="69"/>
      <c r="AG59" s="69"/>
      <c r="AH59" s="69"/>
    </row>
    <row r="60" spans="1:34" x14ac:dyDescent="0.25">
      <c r="A60" s="200"/>
      <c r="B60" s="197"/>
      <c r="C60" s="74" t="s">
        <v>216</v>
      </c>
      <c r="D60" s="121"/>
      <c r="E60" s="69"/>
      <c r="F60" s="69"/>
      <c r="G60" s="69"/>
      <c r="H60" s="69"/>
      <c r="I60" s="69"/>
      <c r="J60" s="69"/>
      <c r="K60" s="69"/>
      <c r="L60" s="69"/>
      <c r="M60" s="69"/>
      <c r="N60" s="69"/>
      <c r="O60" s="69"/>
      <c r="P60" s="69"/>
      <c r="Q60" s="122">
        <v>3</v>
      </c>
      <c r="R60" s="69"/>
      <c r="S60" s="69"/>
      <c r="T60" s="69"/>
      <c r="U60" s="101">
        <f>SUM(C60:Q60)</f>
        <v>3</v>
      </c>
      <c r="V60" s="69">
        <v>2</v>
      </c>
      <c r="W60" s="69">
        <v>2.5</v>
      </c>
      <c r="X60" s="69">
        <v>0</v>
      </c>
      <c r="Y60" s="75">
        <f t="shared" si="4"/>
        <v>7.5</v>
      </c>
      <c r="Z60" s="69"/>
      <c r="AA60" s="69"/>
      <c r="AB60" s="69"/>
      <c r="AC60" s="69"/>
      <c r="AD60" s="69"/>
      <c r="AE60" s="69"/>
      <c r="AF60" s="69"/>
      <c r="AG60" s="69"/>
      <c r="AH60" s="69"/>
    </row>
    <row r="61" spans="1:34" x14ac:dyDescent="0.25">
      <c r="A61" s="201"/>
      <c r="B61" s="198"/>
      <c r="C61" s="76" t="s">
        <v>217</v>
      </c>
      <c r="D61" s="124"/>
      <c r="E61" s="125"/>
      <c r="F61" s="125"/>
      <c r="G61" s="125"/>
      <c r="H61" s="125"/>
      <c r="I61" s="125"/>
      <c r="J61" s="125"/>
      <c r="K61" s="125"/>
      <c r="L61" s="125"/>
      <c r="M61" s="125"/>
      <c r="N61" s="125"/>
      <c r="O61" s="125"/>
      <c r="P61" s="125"/>
      <c r="Q61" s="126">
        <v>3</v>
      </c>
      <c r="R61" s="71"/>
      <c r="S61" s="71"/>
      <c r="T61" s="71"/>
      <c r="U61" s="102">
        <f>SUM(C61:Q61)</f>
        <v>3</v>
      </c>
      <c r="V61" s="71">
        <v>2</v>
      </c>
      <c r="W61" s="71">
        <v>2.5</v>
      </c>
      <c r="X61" s="71">
        <v>2</v>
      </c>
      <c r="Y61" s="77">
        <f t="shared" si="4"/>
        <v>9.5</v>
      </c>
      <c r="Z61" s="69"/>
      <c r="AA61" s="69"/>
      <c r="AB61" s="69"/>
      <c r="AC61" s="69"/>
      <c r="AD61" s="69"/>
      <c r="AE61" s="69"/>
      <c r="AF61" s="69"/>
      <c r="AG61" s="69"/>
      <c r="AH61" s="69"/>
    </row>
    <row r="62" spans="1:34" x14ac:dyDescent="0.25">
      <c r="A62" s="199" t="s">
        <v>136</v>
      </c>
      <c r="B62" s="202">
        <v>16</v>
      </c>
      <c r="C62" s="74" t="s">
        <v>218</v>
      </c>
      <c r="D62" s="101"/>
      <c r="E62" s="69"/>
      <c r="F62" s="69"/>
      <c r="G62" s="69"/>
      <c r="H62" s="69"/>
      <c r="I62" s="69"/>
      <c r="J62" s="69"/>
      <c r="K62" s="69"/>
      <c r="L62" s="69"/>
      <c r="M62" s="69"/>
      <c r="N62" s="69"/>
      <c r="O62" s="69"/>
      <c r="P62" s="69"/>
      <c r="Q62" s="69"/>
      <c r="R62" s="69"/>
      <c r="S62" s="69"/>
      <c r="T62" s="69" t="s">
        <v>136</v>
      </c>
      <c r="U62" s="69">
        <v>0</v>
      </c>
      <c r="V62" s="69">
        <v>0</v>
      </c>
      <c r="W62" s="69">
        <v>0</v>
      </c>
      <c r="X62" s="69">
        <v>0</v>
      </c>
      <c r="Y62" s="75">
        <f t="shared" ref="Y62:Y65" si="5">SUM(U62:X62)</f>
        <v>0</v>
      </c>
      <c r="Z62" s="69"/>
      <c r="AA62" s="69"/>
      <c r="AB62" s="69"/>
      <c r="AC62" s="69"/>
      <c r="AD62" s="69"/>
      <c r="AE62" s="69"/>
      <c r="AF62" s="69"/>
      <c r="AG62" s="69"/>
      <c r="AH62" s="69"/>
    </row>
    <row r="63" spans="1:34" x14ac:dyDescent="0.25">
      <c r="A63" s="200"/>
      <c r="B63" s="197"/>
      <c r="C63" s="74" t="s">
        <v>219</v>
      </c>
      <c r="D63" s="101"/>
      <c r="E63" s="69"/>
      <c r="F63" s="69"/>
      <c r="G63" s="69"/>
      <c r="H63" s="69"/>
      <c r="I63" s="69"/>
      <c r="J63" s="69"/>
      <c r="K63" s="69"/>
      <c r="L63" s="69"/>
      <c r="M63" s="69"/>
      <c r="N63" s="69"/>
      <c r="O63" s="69"/>
      <c r="P63" s="69"/>
      <c r="Q63" s="69"/>
      <c r="R63" s="69"/>
      <c r="S63" s="69"/>
      <c r="T63" s="69" t="s">
        <v>136</v>
      </c>
      <c r="U63" s="69">
        <v>0</v>
      </c>
      <c r="V63" s="69">
        <v>0</v>
      </c>
      <c r="W63" s="69">
        <v>0</v>
      </c>
      <c r="X63" s="69">
        <v>0</v>
      </c>
      <c r="Y63" s="75">
        <f t="shared" si="5"/>
        <v>0</v>
      </c>
      <c r="Z63" s="69"/>
      <c r="AA63" s="69"/>
      <c r="AB63" s="69"/>
      <c r="AC63" s="69"/>
      <c r="AD63" s="69"/>
      <c r="AE63" s="69"/>
      <c r="AF63" s="69"/>
      <c r="AG63" s="69"/>
      <c r="AH63" s="69"/>
    </row>
    <row r="64" spans="1:34" x14ac:dyDescent="0.25">
      <c r="A64" s="200"/>
      <c r="B64" s="197"/>
      <c r="C64" s="74" t="s">
        <v>220</v>
      </c>
      <c r="D64" s="101"/>
      <c r="E64" s="69"/>
      <c r="F64" s="69"/>
      <c r="G64" s="69"/>
      <c r="H64" s="69"/>
      <c r="I64" s="69"/>
      <c r="J64" s="69"/>
      <c r="K64" s="69"/>
      <c r="L64" s="69"/>
      <c r="M64" s="69"/>
      <c r="N64" s="69"/>
      <c r="O64" s="69"/>
      <c r="P64" s="69"/>
      <c r="Q64" s="69"/>
      <c r="R64" s="69"/>
      <c r="S64" s="69"/>
      <c r="T64" s="69" t="s">
        <v>136</v>
      </c>
      <c r="U64" s="69">
        <v>0</v>
      </c>
      <c r="V64" s="69">
        <v>0</v>
      </c>
      <c r="W64" s="69">
        <v>0</v>
      </c>
      <c r="X64" s="69">
        <v>0</v>
      </c>
      <c r="Y64" s="75">
        <f t="shared" si="5"/>
        <v>0</v>
      </c>
      <c r="Z64" s="69"/>
      <c r="AA64" s="69"/>
      <c r="AB64" s="69"/>
      <c r="AC64" s="69"/>
      <c r="AD64" s="69"/>
      <c r="AE64" s="69"/>
      <c r="AF64" s="69"/>
      <c r="AG64" s="69"/>
      <c r="AH64" s="69"/>
    </row>
    <row r="65" spans="1:34" x14ac:dyDescent="0.25">
      <c r="A65" s="200"/>
      <c r="B65" s="197"/>
      <c r="C65" s="74" t="s">
        <v>221</v>
      </c>
      <c r="D65" s="101"/>
      <c r="E65" s="69"/>
      <c r="F65" s="69"/>
      <c r="G65" s="69"/>
      <c r="H65" s="69"/>
      <c r="I65" s="69"/>
      <c r="J65" s="69"/>
      <c r="K65" s="69"/>
      <c r="L65" s="69"/>
      <c r="M65" s="69"/>
      <c r="N65" s="69"/>
      <c r="O65" s="69"/>
      <c r="P65" s="69"/>
      <c r="Q65" s="69"/>
      <c r="R65" s="69"/>
      <c r="S65" s="69"/>
      <c r="T65" s="69" t="s">
        <v>136</v>
      </c>
      <c r="U65" s="69">
        <v>0</v>
      </c>
      <c r="V65" s="69">
        <v>0</v>
      </c>
      <c r="W65" s="69">
        <v>0</v>
      </c>
      <c r="X65" s="69">
        <v>0</v>
      </c>
      <c r="Y65" s="75">
        <f t="shared" si="5"/>
        <v>0</v>
      </c>
      <c r="Z65" s="69"/>
      <c r="AA65" s="69"/>
      <c r="AB65" s="69"/>
      <c r="AC65" s="69"/>
      <c r="AD65" s="69"/>
      <c r="AE65" s="69"/>
      <c r="AF65" s="69"/>
      <c r="AG65" s="69"/>
      <c r="AH65" s="69"/>
    </row>
    <row r="66" spans="1:34" x14ac:dyDescent="0.25">
      <c r="A66" s="200"/>
      <c r="B66" s="197">
        <v>17</v>
      </c>
      <c r="C66" s="74" t="s">
        <v>222</v>
      </c>
      <c r="D66" s="101"/>
      <c r="E66" s="69"/>
      <c r="F66" s="69"/>
      <c r="G66" s="69"/>
      <c r="H66" s="69"/>
      <c r="I66" s="69"/>
      <c r="J66" s="69"/>
      <c r="K66" s="69"/>
      <c r="L66" s="69"/>
      <c r="M66" s="69"/>
      <c r="N66" s="69"/>
      <c r="O66" s="69"/>
      <c r="P66" s="69"/>
      <c r="Q66" s="69"/>
      <c r="R66" s="69"/>
      <c r="S66" s="69"/>
      <c r="T66" s="69" t="s">
        <v>136</v>
      </c>
      <c r="U66" s="69">
        <v>0</v>
      </c>
      <c r="V66" s="69">
        <v>0</v>
      </c>
      <c r="W66" s="69">
        <v>0</v>
      </c>
      <c r="X66" s="69">
        <v>0</v>
      </c>
      <c r="Y66" s="75">
        <f t="shared" ref="Y66:Y77" si="6">SUM(U66:X66)</f>
        <v>0</v>
      </c>
      <c r="Z66" s="69"/>
      <c r="AA66" s="69"/>
      <c r="AB66" s="69"/>
      <c r="AC66" s="69"/>
      <c r="AD66" s="69"/>
      <c r="AE66" s="69"/>
      <c r="AF66" s="69"/>
      <c r="AG66" s="69"/>
      <c r="AH66" s="69"/>
    </row>
    <row r="67" spans="1:34" x14ac:dyDescent="0.25">
      <c r="A67" s="200"/>
      <c r="B67" s="197"/>
      <c r="C67" s="74" t="s">
        <v>223</v>
      </c>
      <c r="D67" s="101"/>
      <c r="E67" s="69"/>
      <c r="F67" s="69"/>
      <c r="G67" s="69"/>
      <c r="H67" s="69"/>
      <c r="I67" s="69"/>
      <c r="J67" s="69"/>
      <c r="K67" s="69"/>
      <c r="L67" s="69"/>
      <c r="M67" s="69"/>
      <c r="N67" s="69"/>
      <c r="O67" s="69"/>
      <c r="P67" s="69"/>
      <c r="Q67" s="69"/>
      <c r="R67" s="69"/>
      <c r="S67" s="69"/>
      <c r="T67" s="69" t="s">
        <v>136</v>
      </c>
      <c r="U67" s="69">
        <v>0</v>
      </c>
      <c r="V67" s="69">
        <v>0</v>
      </c>
      <c r="W67" s="69">
        <v>0</v>
      </c>
      <c r="X67" s="69">
        <v>0</v>
      </c>
      <c r="Y67" s="75">
        <f t="shared" si="6"/>
        <v>0</v>
      </c>
      <c r="Z67" s="69"/>
      <c r="AA67" s="69"/>
      <c r="AB67" s="69"/>
      <c r="AC67" s="69"/>
      <c r="AD67" s="69"/>
      <c r="AE67" s="69"/>
      <c r="AF67" s="69"/>
      <c r="AG67" s="69"/>
      <c r="AH67" s="69"/>
    </row>
    <row r="68" spans="1:34" x14ac:dyDescent="0.25">
      <c r="A68" s="200"/>
      <c r="B68" s="197"/>
      <c r="C68" s="74" t="s">
        <v>224</v>
      </c>
      <c r="D68" s="101"/>
      <c r="E68" s="69"/>
      <c r="F68" s="69"/>
      <c r="G68" s="69"/>
      <c r="H68" s="69"/>
      <c r="I68" s="69"/>
      <c r="J68" s="69"/>
      <c r="K68" s="69"/>
      <c r="L68" s="69"/>
      <c r="M68" s="69"/>
      <c r="N68" s="69"/>
      <c r="O68" s="69"/>
      <c r="P68" s="69"/>
      <c r="Q68" s="69"/>
      <c r="R68" s="69"/>
      <c r="S68" s="69"/>
      <c r="T68" s="69" t="s">
        <v>136</v>
      </c>
      <c r="U68" s="69">
        <v>0</v>
      </c>
      <c r="V68" s="69">
        <v>0</v>
      </c>
      <c r="W68" s="69">
        <v>0</v>
      </c>
      <c r="X68" s="69">
        <v>0</v>
      </c>
      <c r="Y68" s="75">
        <f t="shared" si="6"/>
        <v>0</v>
      </c>
      <c r="Z68" s="69"/>
      <c r="AA68" s="69"/>
      <c r="AB68" s="69"/>
      <c r="AC68" s="69"/>
      <c r="AD68" s="69"/>
      <c r="AE68" s="69"/>
      <c r="AF68" s="69"/>
      <c r="AG68" s="69"/>
      <c r="AH68" s="69"/>
    </row>
    <row r="69" spans="1:34" x14ac:dyDescent="0.25">
      <c r="A69" s="200"/>
      <c r="B69" s="197"/>
      <c r="C69" s="74" t="s">
        <v>225</v>
      </c>
      <c r="D69" s="101"/>
      <c r="E69" s="69"/>
      <c r="F69" s="69"/>
      <c r="G69" s="69"/>
      <c r="H69" s="69"/>
      <c r="I69" s="69"/>
      <c r="J69" s="69"/>
      <c r="K69" s="69"/>
      <c r="L69" s="69"/>
      <c r="M69" s="69"/>
      <c r="N69" s="69"/>
      <c r="O69" s="69"/>
      <c r="P69" s="69"/>
      <c r="Q69" s="69"/>
      <c r="R69" s="69"/>
      <c r="S69" s="69"/>
      <c r="T69" s="69" t="s">
        <v>136</v>
      </c>
      <c r="U69" s="69">
        <v>0</v>
      </c>
      <c r="V69" s="69">
        <v>0</v>
      </c>
      <c r="W69" s="69">
        <v>0</v>
      </c>
      <c r="X69" s="69">
        <v>0</v>
      </c>
      <c r="Y69" s="75">
        <f t="shared" si="6"/>
        <v>0</v>
      </c>
      <c r="Z69" s="69"/>
      <c r="AA69" s="69"/>
      <c r="AB69" s="69"/>
      <c r="AC69" s="69"/>
      <c r="AD69" s="69"/>
      <c r="AE69" s="69"/>
      <c r="AF69" s="69"/>
      <c r="AG69" s="69"/>
      <c r="AH69" s="69"/>
    </row>
    <row r="70" spans="1:34" x14ac:dyDescent="0.25">
      <c r="A70" s="200"/>
      <c r="B70" s="197">
        <v>18</v>
      </c>
      <c r="C70" s="74" t="s">
        <v>226</v>
      </c>
      <c r="D70" s="101"/>
      <c r="E70" s="69"/>
      <c r="F70" s="69"/>
      <c r="G70" s="69"/>
      <c r="H70" s="69"/>
      <c r="I70" s="69"/>
      <c r="J70" s="69"/>
      <c r="K70" s="69"/>
      <c r="L70" s="69"/>
      <c r="M70" s="69"/>
      <c r="N70" s="69"/>
      <c r="O70" s="69"/>
      <c r="P70" s="69"/>
      <c r="Q70" s="69"/>
      <c r="R70" s="69"/>
      <c r="S70" s="69"/>
      <c r="T70" s="69" t="s">
        <v>136</v>
      </c>
      <c r="U70" s="69">
        <v>0</v>
      </c>
      <c r="V70" s="69">
        <v>0</v>
      </c>
      <c r="W70" s="69">
        <v>0</v>
      </c>
      <c r="X70" s="69">
        <v>0</v>
      </c>
      <c r="Y70" s="75">
        <f t="shared" si="6"/>
        <v>0</v>
      </c>
      <c r="Z70" s="69"/>
      <c r="AA70" s="69"/>
      <c r="AB70" s="69"/>
      <c r="AC70" s="69"/>
      <c r="AD70" s="69"/>
      <c r="AE70" s="69"/>
      <c r="AF70" s="69"/>
      <c r="AG70" s="69"/>
      <c r="AH70" s="69"/>
    </row>
    <row r="71" spans="1:34" x14ac:dyDescent="0.25">
      <c r="A71" s="200"/>
      <c r="B71" s="197"/>
      <c r="C71" s="74" t="s">
        <v>227</v>
      </c>
      <c r="D71" s="101"/>
      <c r="E71" s="69"/>
      <c r="F71" s="69"/>
      <c r="G71" s="69"/>
      <c r="H71" s="69"/>
      <c r="I71" s="69"/>
      <c r="J71" s="69"/>
      <c r="K71" s="69"/>
      <c r="L71" s="69"/>
      <c r="M71" s="69"/>
      <c r="N71" s="69"/>
      <c r="O71" s="69"/>
      <c r="P71" s="69"/>
      <c r="Q71" s="69"/>
      <c r="R71" s="69"/>
      <c r="S71" s="69"/>
      <c r="T71" s="69" t="s">
        <v>136</v>
      </c>
      <c r="U71" s="69">
        <v>0</v>
      </c>
      <c r="V71" s="69">
        <v>0</v>
      </c>
      <c r="W71" s="69">
        <v>0</v>
      </c>
      <c r="X71" s="69">
        <v>0</v>
      </c>
      <c r="Y71" s="75">
        <f t="shared" si="6"/>
        <v>0</v>
      </c>
      <c r="Z71" s="69"/>
      <c r="AA71" s="69"/>
      <c r="AB71" s="69"/>
      <c r="AC71" s="69"/>
      <c r="AD71" s="69"/>
      <c r="AE71" s="69"/>
      <c r="AF71" s="69"/>
      <c r="AG71" s="69"/>
      <c r="AH71" s="69"/>
    </row>
    <row r="72" spans="1:34" x14ac:dyDescent="0.25">
      <c r="A72" s="200"/>
      <c r="B72" s="197"/>
      <c r="C72" s="74" t="s">
        <v>228</v>
      </c>
      <c r="D72" s="101"/>
      <c r="E72" s="69"/>
      <c r="F72" s="69"/>
      <c r="G72" s="69"/>
      <c r="H72" s="69"/>
      <c r="I72" s="69"/>
      <c r="J72" s="69"/>
      <c r="K72" s="69"/>
      <c r="L72" s="69"/>
      <c r="M72" s="69"/>
      <c r="N72" s="69"/>
      <c r="O72" s="69"/>
      <c r="P72" s="69"/>
      <c r="Q72" s="69"/>
      <c r="R72" s="69"/>
      <c r="S72" s="69"/>
      <c r="T72" s="69" t="s">
        <v>136</v>
      </c>
      <c r="U72" s="69">
        <v>0</v>
      </c>
      <c r="V72" s="69">
        <v>0</v>
      </c>
      <c r="W72" s="69">
        <v>0</v>
      </c>
      <c r="X72" s="69">
        <v>0</v>
      </c>
      <c r="Y72" s="75">
        <f t="shared" si="6"/>
        <v>0</v>
      </c>
      <c r="Z72" s="69"/>
      <c r="AA72" s="69"/>
      <c r="AB72" s="69"/>
      <c r="AC72" s="69"/>
      <c r="AD72" s="69"/>
      <c r="AE72" s="69"/>
      <c r="AF72" s="69"/>
      <c r="AG72" s="69"/>
      <c r="AH72" s="69"/>
    </row>
    <row r="73" spans="1:34" x14ac:dyDescent="0.25">
      <c r="A73" s="200"/>
      <c r="B73" s="197"/>
      <c r="C73" s="74" t="s">
        <v>229</v>
      </c>
      <c r="D73" s="101"/>
      <c r="E73" s="69"/>
      <c r="F73" s="69"/>
      <c r="G73" s="69"/>
      <c r="H73" s="69"/>
      <c r="I73" s="69"/>
      <c r="J73" s="69"/>
      <c r="K73" s="69"/>
      <c r="L73" s="69"/>
      <c r="M73" s="69"/>
      <c r="N73" s="69"/>
      <c r="O73" s="69"/>
      <c r="P73" s="69"/>
      <c r="Q73" s="69"/>
      <c r="R73" s="69"/>
      <c r="S73" s="69"/>
      <c r="T73" s="69" t="s">
        <v>136</v>
      </c>
      <c r="U73" s="69">
        <v>0</v>
      </c>
      <c r="V73" s="69">
        <v>0</v>
      </c>
      <c r="W73" s="69">
        <v>0</v>
      </c>
      <c r="X73" s="69">
        <v>0</v>
      </c>
      <c r="Y73" s="75">
        <f t="shared" si="6"/>
        <v>0</v>
      </c>
      <c r="Z73" s="69"/>
      <c r="AA73" s="69"/>
      <c r="AB73" s="69"/>
      <c r="AC73" s="69"/>
      <c r="AD73" s="69"/>
      <c r="AE73" s="69"/>
      <c r="AF73" s="69"/>
      <c r="AG73" s="69"/>
      <c r="AH73" s="69"/>
    </row>
    <row r="74" spans="1:34" x14ac:dyDescent="0.25">
      <c r="A74" s="200"/>
      <c r="B74" s="197">
        <v>19</v>
      </c>
      <c r="C74" s="74" t="s">
        <v>230</v>
      </c>
      <c r="D74" s="101"/>
      <c r="E74" s="69"/>
      <c r="F74" s="69"/>
      <c r="G74" s="69"/>
      <c r="H74" s="69"/>
      <c r="I74" s="69"/>
      <c r="J74" s="69"/>
      <c r="K74" s="69"/>
      <c r="L74" s="69"/>
      <c r="M74" s="69"/>
      <c r="N74" s="69"/>
      <c r="O74" s="69"/>
      <c r="P74" s="69"/>
      <c r="Q74" s="69"/>
      <c r="R74" s="69"/>
      <c r="S74" s="69"/>
      <c r="T74" s="69" t="s">
        <v>136</v>
      </c>
      <c r="U74" s="69">
        <v>0</v>
      </c>
      <c r="V74" s="69">
        <v>0</v>
      </c>
      <c r="W74" s="69">
        <v>0</v>
      </c>
      <c r="X74" s="69">
        <v>0</v>
      </c>
      <c r="Y74" s="75">
        <f t="shared" si="6"/>
        <v>0</v>
      </c>
      <c r="Z74" s="69"/>
      <c r="AA74" s="69"/>
      <c r="AB74" s="69"/>
      <c r="AC74" s="69"/>
      <c r="AD74" s="69"/>
      <c r="AE74" s="69"/>
      <c r="AF74" s="69"/>
      <c r="AG74" s="69"/>
      <c r="AH74" s="69"/>
    </row>
    <row r="75" spans="1:34" x14ac:dyDescent="0.25">
      <c r="A75" s="200"/>
      <c r="B75" s="197"/>
      <c r="C75" s="74" t="s">
        <v>231</v>
      </c>
      <c r="D75" s="101"/>
      <c r="E75" s="69"/>
      <c r="F75" s="69"/>
      <c r="G75" s="69"/>
      <c r="H75" s="69"/>
      <c r="I75" s="69"/>
      <c r="J75" s="69"/>
      <c r="K75" s="69"/>
      <c r="L75" s="69"/>
      <c r="M75" s="69"/>
      <c r="N75" s="69"/>
      <c r="O75" s="69"/>
      <c r="P75" s="69"/>
      <c r="Q75" s="69"/>
      <c r="R75" s="69"/>
      <c r="S75" s="69"/>
      <c r="T75" s="69" t="s">
        <v>136</v>
      </c>
      <c r="U75" s="69">
        <v>0</v>
      </c>
      <c r="V75" s="69">
        <v>0</v>
      </c>
      <c r="W75" s="69">
        <v>0</v>
      </c>
      <c r="X75" s="69">
        <v>0</v>
      </c>
      <c r="Y75" s="75">
        <f t="shared" si="6"/>
        <v>0</v>
      </c>
      <c r="Z75" s="69"/>
      <c r="AA75" s="69"/>
      <c r="AB75" s="69"/>
      <c r="AC75" s="69"/>
      <c r="AD75" s="69"/>
      <c r="AE75" s="69"/>
      <c r="AF75" s="69"/>
      <c r="AG75" s="69"/>
      <c r="AH75" s="69"/>
    </row>
    <row r="76" spans="1:34" x14ac:dyDescent="0.25">
      <c r="A76" s="200"/>
      <c r="B76" s="197"/>
      <c r="C76" s="74" t="s">
        <v>232</v>
      </c>
      <c r="D76" s="101"/>
      <c r="E76" s="69"/>
      <c r="F76" s="69"/>
      <c r="G76" s="69"/>
      <c r="H76" s="69"/>
      <c r="I76" s="69"/>
      <c r="J76" s="69"/>
      <c r="K76" s="69"/>
      <c r="L76" s="69"/>
      <c r="M76" s="69"/>
      <c r="N76" s="69"/>
      <c r="O76" s="69"/>
      <c r="P76" s="69"/>
      <c r="Q76" s="69"/>
      <c r="R76" s="69"/>
      <c r="S76" s="69"/>
      <c r="T76" s="69" t="s">
        <v>136</v>
      </c>
      <c r="U76" s="69">
        <v>0</v>
      </c>
      <c r="V76" s="69">
        <v>0</v>
      </c>
      <c r="W76" s="69">
        <v>0</v>
      </c>
      <c r="X76" s="69">
        <v>0</v>
      </c>
      <c r="Y76" s="75">
        <f t="shared" si="6"/>
        <v>0</v>
      </c>
      <c r="Z76" s="69"/>
      <c r="AA76" s="69"/>
      <c r="AB76" s="69"/>
      <c r="AC76" s="69"/>
      <c r="AD76" s="69"/>
      <c r="AE76" s="69"/>
      <c r="AF76" s="69"/>
      <c r="AG76" s="69"/>
      <c r="AH76" s="69"/>
    </row>
    <row r="77" spans="1:34" x14ac:dyDescent="0.25">
      <c r="A77" s="201"/>
      <c r="B77" s="198"/>
      <c r="C77" s="76" t="s">
        <v>233</v>
      </c>
      <c r="D77" s="102"/>
      <c r="E77" s="71"/>
      <c r="F77" s="71"/>
      <c r="G77" s="71"/>
      <c r="H77" s="71"/>
      <c r="I77" s="71"/>
      <c r="J77" s="71"/>
      <c r="K77" s="71"/>
      <c r="L77" s="71"/>
      <c r="M77" s="71"/>
      <c r="N77" s="71"/>
      <c r="O77" s="71"/>
      <c r="P77" s="71"/>
      <c r="Q77" s="71"/>
      <c r="R77" s="71"/>
      <c r="S77" s="71"/>
      <c r="T77" s="71" t="s">
        <v>136</v>
      </c>
      <c r="U77" s="71">
        <v>0</v>
      </c>
      <c r="V77" s="71">
        <v>0</v>
      </c>
      <c r="W77" s="71">
        <v>0</v>
      </c>
      <c r="X77" s="71">
        <v>0</v>
      </c>
      <c r="Y77" s="77">
        <f t="shared" si="6"/>
        <v>0</v>
      </c>
      <c r="Z77" s="69"/>
      <c r="AA77" s="69"/>
      <c r="AB77" s="69"/>
      <c r="AC77" s="69"/>
      <c r="AD77" s="69"/>
      <c r="AE77" s="69"/>
      <c r="AF77" s="69"/>
      <c r="AG77" s="69"/>
      <c r="AH77" s="69"/>
    </row>
    <row r="78" spans="1:34" x14ac:dyDescent="0.25">
      <c r="A78" s="69"/>
      <c r="B78" s="69"/>
      <c r="C78" s="69"/>
      <c r="D78" s="94">
        <f>SUM(D2:D77)</f>
        <v>0</v>
      </c>
      <c r="E78" s="94">
        <f t="shared" ref="E78:S78" si="7">SUM(E2:E77)</f>
        <v>4</v>
      </c>
      <c r="F78" s="94">
        <f t="shared" si="7"/>
        <v>12</v>
      </c>
      <c r="G78" s="94">
        <f t="shared" si="7"/>
        <v>15</v>
      </c>
      <c r="H78" s="94">
        <f t="shared" si="7"/>
        <v>27</v>
      </c>
      <c r="I78" s="94">
        <f t="shared" si="7"/>
        <v>12</v>
      </c>
      <c r="J78" s="94">
        <f t="shared" si="7"/>
        <v>24</v>
      </c>
      <c r="K78" s="94">
        <f t="shared" si="7"/>
        <v>9</v>
      </c>
      <c r="L78" s="94">
        <f t="shared" si="7"/>
        <v>12</v>
      </c>
      <c r="M78" s="94">
        <f t="shared" si="7"/>
        <v>21</v>
      </c>
      <c r="N78" s="94">
        <f t="shared" si="7"/>
        <v>18</v>
      </c>
      <c r="O78" s="94">
        <f t="shared" si="7"/>
        <v>15</v>
      </c>
      <c r="P78" s="94">
        <f t="shared" si="7"/>
        <v>15</v>
      </c>
      <c r="Q78" s="94">
        <f t="shared" si="7"/>
        <v>9</v>
      </c>
      <c r="R78" s="94">
        <f t="shared" si="7"/>
        <v>30</v>
      </c>
      <c r="S78" s="94">
        <f t="shared" si="7"/>
        <v>0</v>
      </c>
      <c r="T78" s="69"/>
      <c r="U78" s="69"/>
      <c r="V78" s="69"/>
      <c r="W78" s="69"/>
      <c r="X78" s="69"/>
      <c r="Y78" s="69"/>
      <c r="Z78" s="69"/>
      <c r="AA78" s="69"/>
      <c r="AB78" s="69"/>
      <c r="AC78" s="69"/>
      <c r="AD78" s="69"/>
      <c r="AE78" s="69"/>
      <c r="AF78" s="69"/>
      <c r="AG78" s="69"/>
      <c r="AH78" s="69"/>
    </row>
    <row r="79" spans="1:34" x14ac:dyDescent="0.25">
      <c r="A79" s="69"/>
      <c r="B79" s="69"/>
      <c r="C79" s="69"/>
      <c r="D79" s="69"/>
      <c r="E79" s="69"/>
      <c r="F79" s="69"/>
      <c r="G79" s="69"/>
      <c r="H79" s="69"/>
      <c r="I79" s="69"/>
      <c r="J79" s="69"/>
      <c r="K79" s="69"/>
      <c r="L79" s="69"/>
      <c r="M79" s="69"/>
      <c r="N79" s="69"/>
      <c r="O79" s="69"/>
      <c r="P79" s="69"/>
      <c r="Q79" s="69"/>
      <c r="R79" s="69"/>
      <c r="S79" s="69"/>
      <c r="T79" s="69"/>
      <c r="U79" s="96">
        <f>SUM(U2:U77)</f>
        <v>189</v>
      </c>
      <c r="V79" s="97">
        <f>SUM(V2:V77)</f>
        <v>120</v>
      </c>
      <c r="W79" s="97">
        <f>SUM(W2:W77)</f>
        <v>150</v>
      </c>
      <c r="X79" s="97">
        <f>SUM(X2:X77)</f>
        <v>24</v>
      </c>
      <c r="Y79" s="99">
        <f>SUM(Y2:Y77)</f>
        <v>483</v>
      </c>
      <c r="Z79" s="69"/>
      <c r="AA79" s="69"/>
      <c r="AB79" s="69"/>
      <c r="AC79" s="69"/>
      <c r="AD79" s="69"/>
      <c r="AE79" s="69"/>
      <c r="AF79" s="69"/>
      <c r="AG79" s="69"/>
      <c r="AH79" s="69"/>
    </row>
    <row r="80" spans="1:34" ht="15.75" thickBot="1" x14ac:dyDescent="0.3">
      <c r="A80" s="69"/>
      <c r="B80" s="69"/>
      <c r="C80" s="193" t="s">
        <v>234</v>
      </c>
      <c r="D80" s="194"/>
      <c r="E80" s="73">
        <v>60</v>
      </c>
      <c r="F80" s="69"/>
      <c r="G80" s="69"/>
      <c r="H80" s="69"/>
      <c r="I80" s="69"/>
      <c r="J80" s="69"/>
      <c r="K80" s="69"/>
      <c r="L80" s="69"/>
      <c r="M80" s="69"/>
      <c r="N80" s="69"/>
      <c r="O80" s="69"/>
      <c r="P80" s="69"/>
      <c r="Q80" s="69"/>
      <c r="R80" s="69"/>
      <c r="S80" s="69"/>
      <c r="T80" s="69"/>
      <c r="U80" s="69"/>
      <c r="V80" s="69"/>
      <c r="W80" s="69"/>
      <c r="X80" s="69"/>
      <c r="Y80" s="98" t="s">
        <v>235</v>
      </c>
      <c r="Z80" s="69"/>
      <c r="AA80" s="69"/>
      <c r="AB80" s="69"/>
      <c r="AC80" s="69"/>
      <c r="AD80" s="69"/>
      <c r="AE80" s="69"/>
      <c r="AF80" s="69"/>
      <c r="AG80" s="69"/>
      <c r="AH80" s="69"/>
    </row>
    <row r="81" spans="1:34" x14ac:dyDescent="0.25">
      <c r="A81" s="69"/>
      <c r="B81" s="69"/>
      <c r="C81" s="195" t="s">
        <v>236</v>
      </c>
      <c r="D81" s="196"/>
      <c r="E81" s="75">
        <v>322.5</v>
      </c>
      <c r="F81" s="69"/>
      <c r="G81" s="69"/>
      <c r="H81" s="69"/>
      <c r="I81" s="69"/>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row>
    <row r="82" spans="1:34" x14ac:dyDescent="0.25">
      <c r="A82" s="69"/>
      <c r="B82" s="69"/>
      <c r="C82" s="195" t="s">
        <v>237</v>
      </c>
      <c r="D82" s="196"/>
      <c r="E82" s="75">
        <v>35</v>
      </c>
      <c r="F82" s="69"/>
      <c r="G82" s="69"/>
      <c r="H82" s="69"/>
      <c r="I82" s="69"/>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row>
    <row r="83" spans="1:34" x14ac:dyDescent="0.25">
      <c r="A83" s="69"/>
      <c r="B83" s="69"/>
      <c r="C83" s="195" t="s">
        <v>238</v>
      </c>
      <c r="D83" s="196"/>
      <c r="E83" s="75">
        <v>287</v>
      </c>
      <c r="F83" s="69"/>
      <c r="G83" s="69"/>
      <c r="H83" s="69"/>
      <c r="I83" s="69"/>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row>
    <row r="84" spans="1:34" x14ac:dyDescent="0.25">
      <c r="A84" s="69"/>
      <c r="B84" s="69"/>
      <c r="C84" s="195" t="s">
        <v>239</v>
      </c>
      <c r="D84" s="196"/>
      <c r="E84" s="75">
        <v>60</v>
      </c>
      <c r="F84" s="69"/>
      <c r="G84" s="69"/>
      <c r="H84" s="69"/>
      <c r="I84" s="69"/>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row>
    <row r="85" spans="1:34" x14ac:dyDescent="0.25">
      <c r="A85" s="69"/>
      <c r="B85" s="69"/>
      <c r="C85" s="191" t="s">
        <v>240</v>
      </c>
      <c r="D85" s="192"/>
      <c r="E85" s="77">
        <f>Y79</f>
        <v>483</v>
      </c>
      <c r="F85" s="69"/>
      <c r="G85" s="69"/>
      <c r="H85" s="69"/>
      <c r="I85" s="69"/>
      <c r="J85" s="69"/>
      <c r="K85" s="69"/>
      <c r="L85" s="69"/>
      <c r="M85" s="69"/>
      <c r="N85" s="69"/>
      <c r="O85" s="69"/>
      <c r="P85" s="69"/>
      <c r="Q85" s="69"/>
      <c r="R85" s="69"/>
      <c r="S85" s="69"/>
      <c r="T85" s="69"/>
      <c r="Z85" s="69"/>
      <c r="AA85" s="69"/>
      <c r="AB85" s="69"/>
      <c r="AC85" s="69"/>
      <c r="AD85" s="69"/>
      <c r="AE85" s="69"/>
      <c r="AF85" s="69"/>
      <c r="AG85" s="69"/>
      <c r="AH85" s="69"/>
    </row>
    <row r="86" spans="1:34" x14ac:dyDescent="0.25">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row>
  </sheetData>
  <mergeCells count="27">
    <mergeCell ref="B66:B69"/>
    <mergeCell ref="B70:B73"/>
    <mergeCell ref="B74:B77"/>
    <mergeCell ref="A62:A77"/>
    <mergeCell ref="B54:B57"/>
    <mergeCell ref="B58:B61"/>
    <mergeCell ref="B62:B65"/>
    <mergeCell ref="A2:A61"/>
    <mergeCell ref="B2:B5"/>
    <mergeCell ref="B6:B9"/>
    <mergeCell ref="B10:B13"/>
    <mergeCell ref="B14:B17"/>
    <mergeCell ref="B18:B21"/>
    <mergeCell ref="B42:B45"/>
    <mergeCell ref="B46:B49"/>
    <mergeCell ref="B50:B53"/>
    <mergeCell ref="B22:B25"/>
    <mergeCell ref="B26:B29"/>
    <mergeCell ref="B30:B33"/>
    <mergeCell ref="B34:B37"/>
    <mergeCell ref="B38:B41"/>
    <mergeCell ref="C85:D85"/>
    <mergeCell ref="C80:D80"/>
    <mergeCell ref="C81:D81"/>
    <mergeCell ref="C82:D82"/>
    <mergeCell ref="C83:D83"/>
    <mergeCell ref="C84:D84"/>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7"/>
  <sheetViews>
    <sheetView workbookViewId="0">
      <selection activeCell="G8" sqref="G8"/>
    </sheetView>
  </sheetViews>
  <sheetFormatPr defaultRowHeight="15" x14ac:dyDescent="0.25"/>
  <cols>
    <col min="1" max="1" width="29.5703125" customWidth="1"/>
    <col min="2" max="2" width="12" bestFit="1" customWidth="1"/>
    <col min="3" max="3" width="11" bestFit="1" customWidth="1"/>
    <col min="6" max="6" width="12" bestFit="1" customWidth="1"/>
  </cols>
  <sheetData>
    <row r="1" spans="1:6" x14ac:dyDescent="0.25">
      <c r="A1" s="20" t="s">
        <v>241</v>
      </c>
    </row>
    <row r="4" spans="1:6" x14ac:dyDescent="0.25">
      <c r="A4" t="s">
        <v>242</v>
      </c>
      <c r="B4" s="21">
        <v>43739</v>
      </c>
      <c r="D4" t="s">
        <v>243</v>
      </c>
    </row>
    <row r="5" spans="1:6" x14ac:dyDescent="0.25">
      <c r="A5" t="s">
        <v>244</v>
      </c>
      <c r="B5" s="21">
        <v>44621</v>
      </c>
      <c r="D5" t="s">
        <v>243</v>
      </c>
    </row>
    <row r="6" spans="1:6" x14ac:dyDescent="0.25">
      <c r="A6" t="s">
        <v>245</v>
      </c>
      <c r="B6" s="22">
        <f>B5-B4</f>
        <v>882</v>
      </c>
      <c r="D6" t="s">
        <v>246</v>
      </c>
    </row>
    <row r="7" spans="1:6" x14ac:dyDescent="0.25">
      <c r="A7" t="s">
        <v>247</v>
      </c>
      <c r="B7" s="23">
        <f>B6/365</f>
        <v>2.4164383561643836</v>
      </c>
      <c r="D7" t="s">
        <v>246</v>
      </c>
    </row>
    <row r="8" spans="1:6" x14ac:dyDescent="0.25">
      <c r="A8" t="s">
        <v>248</v>
      </c>
      <c r="B8" s="24">
        <v>7.5</v>
      </c>
      <c r="D8" t="s">
        <v>243</v>
      </c>
    </row>
    <row r="10" spans="1:6" x14ac:dyDescent="0.25">
      <c r="A10" s="20" t="s">
        <v>249</v>
      </c>
      <c r="C10" s="29">
        <f>260*B8*0.2*B7</f>
        <v>942.41095890410963</v>
      </c>
      <c r="F10" s="33" t="s">
        <v>250</v>
      </c>
    </row>
    <row r="11" spans="1:6" x14ac:dyDescent="0.25">
      <c r="F11" s="33" t="s">
        <v>251</v>
      </c>
    </row>
    <row r="12" spans="1:6" x14ac:dyDescent="0.25">
      <c r="A12" s="20" t="s">
        <v>252</v>
      </c>
      <c r="C12" s="28" t="e">
        <f>'OTJT Log'!#REF!</f>
        <v>#REF!</v>
      </c>
      <c r="D12" t="s">
        <v>246</v>
      </c>
    </row>
    <row r="13" spans="1:6" ht="15.75" thickBot="1" x14ac:dyDescent="0.3"/>
    <row r="14" spans="1:6" ht="15.75" thickBot="1" x14ac:dyDescent="0.3">
      <c r="A14" s="20" t="s">
        <v>253</v>
      </c>
      <c r="C14" s="26" t="e">
        <f>C12-C10</f>
        <v>#REF!</v>
      </c>
    </row>
    <row r="17" spans="1:1" x14ac:dyDescent="0.25">
      <c r="A17" s="30" t="s">
        <v>254</v>
      </c>
    </row>
  </sheetData>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
  <sheetViews>
    <sheetView topLeftCell="A4" workbookViewId="0">
      <selection activeCell="D7" sqref="D7"/>
    </sheetView>
  </sheetViews>
  <sheetFormatPr defaultRowHeight="15" x14ac:dyDescent="0.25"/>
  <cols>
    <col min="2" max="2" width="110.42578125" customWidth="1"/>
    <col min="7" max="7" width="6.42578125" customWidth="1"/>
    <col min="8" max="8" width="7.28515625" hidden="1" customWidth="1"/>
    <col min="9" max="9" width="6.7109375" hidden="1" customWidth="1"/>
    <col min="10" max="14" width="9.28515625" hidden="1" customWidth="1"/>
  </cols>
  <sheetData>
    <row r="1" spans="1:19" x14ac:dyDescent="0.25">
      <c r="A1" s="2"/>
      <c r="B1" s="2"/>
      <c r="C1" s="2"/>
      <c r="D1" s="2"/>
      <c r="E1" s="2"/>
      <c r="F1" s="2"/>
      <c r="G1" s="2"/>
      <c r="H1" s="2"/>
      <c r="I1" s="2"/>
      <c r="J1" s="2"/>
      <c r="K1" s="2"/>
      <c r="L1" s="2"/>
      <c r="M1" s="2"/>
      <c r="N1" s="2"/>
      <c r="O1" s="2"/>
      <c r="P1" s="2"/>
      <c r="Q1" s="2"/>
      <c r="R1" s="2"/>
      <c r="S1" s="2"/>
    </row>
    <row r="2" spans="1:19" ht="18" x14ac:dyDescent="0.25">
      <c r="A2" s="2"/>
      <c r="B2" s="7" t="s">
        <v>255</v>
      </c>
      <c r="C2" s="8"/>
      <c r="D2" s="8"/>
      <c r="E2" s="9"/>
      <c r="F2" s="2"/>
      <c r="G2" s="2"/>
      <c r="H2" s="2"/>
      <c r="I2" s="2"/>
      <c r="J2" s="2"/>
      <c r="K2" s="2"/>
      <c r="L2" s="5"/>
      <c r="M2" s="5"/>
      <c r="N2" s="2"/>
      <c r="O2" s="2"/>
      <c r="P2" s="2"/>
      <c r="Q2" s="2"/>
      <c r="R2" s="2"/>
      <c r="S2" s="2"/>
    </row>
    <row r="3" spans="1:19" x14ac:dyDescent="0.25">
      <c r="A3" s="2"/>
      <c r="B3" s="12" t="s">
        <v>256</v>
      </c>
      <c r="C3" s="10"/>
      <c r="D3" s="10"/>
      <c r="E3" s="10"/>
      <c r="F3" s="10"/>
      <c r="G3" s="10"/>
      <c r="H3" s="10"/>
      <c r="I3" s="10"/>
      <c r="J3" s="10"/>
      <c r="K3" s="10"/>
      <c r="L3" s="10"/>
      <c r="M3" s="10"/>
      <c r="N3" s="10"/>
      <c r="O3" s="2"/>
      <c r="P3" s="2"/>
      <c r="Q3" s="2"/>
      <c r="R3" s="2"/>
      <c r="S3" s="2"/>
    </row>
    <row r="4" spans="1:19" x14ac:dyDescent="0.25">
      <c r="A4" s="2"/>
      <c r="B4" s="19" t="s">
        <v>257</v>
      </c>
      <c r="C4" s="10"/>
      <c r="D4" s="10"/>
      <c r="E4" s="10"/>
      <c r="F4" s="10"/>
      <c r="G4" s="10"/>
      <c r="H4" s="10"/>
      <c r="I4" s="10"/>
      <c r="J4" s="10"/>
      <c r="K4" s="10"/>
      <c r="L4" s="10"/>
      <c r="M4" s="10"/>
      <c r="N4" s="10"/>
      <c r="O4" s="2"/>
      <c r="P4" s="2"/>
      <c r="Q4" s="2"/>
      <c r="R4" s="2"/>
      <c r="S4" s="2"/>
    </row>
    <row r="5" spans="1:19" ht="39" customHeight="1" x14ac:dyDescent="0.25">
      <c r="A5" s="2"/>
      <c r="B5" s="204" t="s">
        <v>258</v>
      </c>
      <c r="C5" s="205"/>
      <c r="D5" s="205"/>
      <c r="E5" s="205"/>
      <c r="F5" s="205"/>
      <c r="G5" s="205"/>
      <c r="H5" s="205"/>
      <c r="I5" s="205"/>
      <c r="J5" s="205"/>
      <c r="K5" s="205"/>
      <c r="L5" s="205"/>
      <c r="M5" s="205"/>
      <c r="N5" s="206"/>
      <c r="O5" s="5"/>
      <c r="P5" s="2"/>
      <c r="Q5" s="2"/>
      <c r="R5" s="2"/>
      <c r="S5" s="2"/>
    </row>
    <row r="6" spans="1:19" x14ac:dyDescent="0.25">
      <c r="A6" s="2"/>
      <c r="B6" s="13" t="s">
        <v>259</v>
      </c>
      <c r="C6" s="13"/>
      <c r="D6" s="13"/>
      <c r="E6" s="17"/>
      <c r="F6" s="11"/>
      <c r="G6" s="13"/>
      <c r="H6" s="13"/>
      <c r="I6" s="13"/>
      <c r="J6" s="11"/>
      <c r="K6" s="13"/>
      <c r="L6" s="14"/>
      <c r="M6" s="17"/>
      <c r="N6" s="13"/>
      <c r="O6" s="5"/>
      <c r="P6" s="5"/>
      <c r="Q6" s="2"/>
      <c r="R6" s="2"/>
      <c r="S6" s="2"/>
    </row>
    <row r="7" spans="1:19" x14ac:dyDescent="0.25">
      <c r="A7" s="2"/>
      <c r="B7" s="2"/>
      <c r="C7" s="2"/>
      <c r="D7" s="2"/>
      <c r="E7" s="2"/>
      <c r="F7" s="5"/>
      <c r="G7" s="2"/>
      <c r="H7" s="2"/>
      <c r="I7" s="2"/>
      <c r="J7" s="5"/>
      <c r="K7" s="2"/>
      <c r="L7" s="2"/>
      <c r="M7" s="2"/>
      <c r="N7" s="2"/>
      <c r="O7" s="5"/>
      <c r="P7" s="2"/>
      <c r="Q7" s="5"/>
      <c r="R7" s="2"/>
      <c r="S7" s="2"/>
    </row>
    <row r="8" spans="1:19" x14ac:dyDescent="0.25">
      <c r="A8" s="2"/>
      <c r="B8" s="2"/>
      <c r="C8" s="2"/>
      <c r="D8" s="2"/>
      <c r="E8" s="2"/>
      <c r="F8" s="2"/>
      <c r="G8" s="2"/>
      <c r="H8" s="2"/>
      <c r="I8" s="2"/>
      <c r="J8" s="2"/>
      <c r="K8" s="2"/>
      <c r="L8" s="2"/>
      <c r="M8" s="2"/>
      <c r="N8" s="2"/>
      <c r="O8" s="2"/>
      <c r="P8" s="2"/>
      <c r="Q8" s="2"/>
      <c r="R8" s="2"/>
      <c r="S8" s="2"/>
    </row>
    <row r="9" spans="1:19" x14ac:dyDescent="0.25">
      <c r="B9" s="15"/>
      <c r="C9" s="16"/>
      <c r="D9" s="16"/>
      <c r="E9" s="16"/>
      <c r="F9" s="16"/>
    </row>
    <row r="10" spans="1:19" x14ac:dyDescent="0.25">
      <c r="B10" s="207" t="s">
        <v>260</v>
      </c>
    </row>
    <row r="11" spans="1:19" x14ac:dyDescent="0.25">
      <c r="B11" s="207"/>
    </row>
    <row r="12" spans="1:19" x14ac:dyDescent="0.25">
      <c r="B12" s="207"/>
    </row>
    <row r="13" spans="1:19" x14ac:dyDescent="0.25">
      <c r="B13" s="207"/>
    </row>
    <row r="14" spans="1:19" x14ac:dyDescent="0.25">
      <c r="B14" s="207"/>
    </row>
    <row r="21" spans="18:18" x14ac:dyDescent="0.25">
      <c r="R21" s="18"/>
    </row>
  </sheetData>
  <mergeCells count="2">
    <mergeCell ref="B5:N5"/>
    <mergeCell ref="B10:B14"/>
  </mergeCells>
  <dataValidations count="2">
    <dataValidation allowBlank="1" showInputMessage="1" showErrorMessage="1" prompt="Please note any extra study leave you received during work hours" sqref="F9" xr:uid="{00000000-0002-0000-0600-000000000000}"/>
    <dataValidation allowBlank="1" showInputMessage="1" showErrorMessage="1" prompt="Date when the exam was completed" sqref="D9" xr:uid="{00000000-0002-0000-0600-000001000000}"/>
  </dataValidation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0D9039996957B47A2820CA7E129C20F" ma:contentTypeVersion="13" ma:contentTypeDescription="Create a new document." ma:contentTypeScope="" ma:versionID="61c230ac488284aa1c9442a337ce5a7f">
  <xsd:schema xmlns:xsd="http://www.w3.org/2001/XMLSchema" xmlns:xs="http://www.w3.org/2001/XMLSchema" xmlns:p="http://schemas.microsoft.com/office/2006/metadata/properties" xmlns:ns2="65f98c99-c090-489b-8346-b847c18a5011" xmlns:ns3="d03ffd70-462c-4172-9015-a0cdff42c83c" targetNamespace="http://schemas.microsoft.com/office/2006/metadata/properties" ma:root="true" ma:fieldsID="4cea2a2cd68f11dd2b0a1fdf049f3860" ns2:_="" ns3:_="">
    <xsd:import namespace="65f98c99-c090-489b-8346-b847c18a5011"/>
    <xsd:import namespace="d03ffd70-462c-4172-9015-a0cdff42c83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f98c99-c090-489b-8346-b847c18a50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42764dbc-7309-45b3-8ffb-b5aa3fc55ab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3ffd70-462c-4172-9015-a0cdff42c83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d03ffd70-462c-4172-9015-a0cdff42c83c">
      <UserInfo>
        <DisplayName>Craig Stevens</DisplayName>
        <AccountId>17</AccountId>
        <AccountType/>
      </UserInfo>
      <UserInfo>
        <DisplayName>Afzan Matloob</DisplayName>
        <AccountId>46</AccountId>
        <AccountType/>
      </UserInfo>
    </SharedWithUsers>
    <lcf76f155ced4ddcb4097134ff3c332f xmlns="65f98c99-c090-489b-8346-b847c18a501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7D0D882-CBE1-41A5-A59C-C48B26872275}">
  <ds:schemaRefs>
    <ds:schemaRef ds:uri="http://schemas.microsoft.com/sharepoint/v3/contenttype/forms"/>
  </ds:schemaRefs>
</ds:datastoreItem>
</file>

<file path=customXml/itemProps2.xml><?xml version="1.0" encoding="utf-8"?>
<ds:datastoreItem xmlns:ds="http://schemas.openxmlformats.org/officeDocument/2006/customXml" ds:itemID="{710DD5DA-09F7-4D7C-A10A-C80CDC0D2E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f98c99-c090-489b-8346-b847c18a5011"/>
    <ds:schemaRef ds:uri="d03ffd70-462c-4172-9015-a0cdff42c83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627C2A1-639E-4000-94D7-FA9740411AFB}">
  <ds:schemaRefs>
    <ds:schemaRef ds:uri="http://schemas.microsoft.com/office/2006/metadata/properties"/>
    <ds:schemaRef ds:uri="http://schemas.microsoft.com/office/infopath/2007/PartnerControls"/>
    <ds:schemaRef ds:uri="d03ffd70-462c-4172-9015-a0cdff42c83c"/>
    <ds:schemaRef ds:uri="65f98c99-c090-489b-8346-b847c18a5011"/>
  </ds:schemaRefs>
</ds:datastoreItem>
</file>

<file path=docMetadata/LabelInfo.xml><?xml version="1.0" encoding="utf-8"?>
<clbl:labelList xmlns:clbl="http://schemas.microsoft.com/office/2020/mipLabelMetadata">
  <clbl:label id="{7bc792f8-6d75-423a-9981-629281829092}" enabled="1" method="Privileged" siteId="{3ded2960-214a-46ff-8cf4-611f125e2398}"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OTJT Log</vt:lpstr>
      <vt:lpstr>FAQs</vt:lpstr>
      <vt:lpstr>Calculation Rules</vt:lpstr>
      <vt:lpstr>Appendix</vt:lpstr>
      <vt:lpstr>List - Hide</vt:lpstr>
      <vt:lpstr>Check - Hide</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Justine Zemele</dc:creator>
  <cp:keywords/>
  <dc:description/>
  <cp:lastModifiedBy>Halyna Maslak</cp:lastModifiedBy>
  <cp:revision/>
  <dcterms:created xsi:type="dcterms:W3CDTF">2020-04-03T13:39:35Z</dcterms:created>
  <dcterms:modified xsi:type="dcterms:W3CDTF">2025-11-18T20:34:03Z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0x01010060D9039996957B47A2820CA7E129C20F</vt:lpwstr>
  </property>
  <property fmtid="{D5CDD505-2E9C-101B-9397-08002B2CF9AE}" pid="3" name="Order">
    <vt:r8>17800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KSB">
    <vt:lpwstr/>
  </property>
  <property fmtid="{D5CDD505-2E9C-101B-9397-08002B2CF9AE}" pid="11" name="Competency">
    <vt:lpwstr/>
  </property>
  <property fmtid="{D5CDD505-2E9C-101B-9397-08002B2CF9AE}" pid="12" name="MediaServiceImageTags">
    <vt:lpwstr/>
  </property>
  <property fmtid="{D5CDD505-2E9C-101B-9397-08002B2CF9AE}" pid="13" name="completedorworkinprogress">
    <vt:bool>true</vt:bool>
  </property>
</Properties>
</file>